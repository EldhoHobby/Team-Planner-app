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dho\Claude\Projects\Team Planner app\timesheet-template\"/>
    </mc:Choice>
  </mc:AlternateContent>
  <xr:revisionPtr revIDLastSave="0" documentId="13_ncr:1_{3AD1145E-125F-405D-B55A-3B99C5B82F40}" xr6:coauthVersionLast="47" xr6:coauthVersionMax="47" xr10:uidLastSave="{00000000-0000-0000-0000-000000000000}"/>
  <bookViews>
    <workbookView xWindow="780" yWindow="780" windowWidth="21600" windowHeight="11295" activeTab="1" xr2:uid="{00000000-000D-0000-FFFF-FFFF00000000}"/>
  </bookViews>
  <sheets>
    <sheet name="Sheet2" sheetId="19" r:id="rId1"/>
    <sheet name="07 04 2026" sheetId="45" r:id="rId2"/>
  </sheets>
  <functionGroups builtInGroupCount="19"/>
  <definedNames>
    <definedName name="_xlnm._FilterDatabase" localSheetId="1" hidden="1">'07 04 2026'!$B$7:$L$12</definedName>
    <definedName name="Lookup01">Sheet2!$B:$C</definedName>
    <definedName name="_xlnm.Print_Area" localSheetId="1">'07 04 2026'!$A$1:$O$53</definedName>
    <definedName name="ProjectNumbers">Sheet2!$B$2:$C$15</definedName>
    <definedName name="PWO_S.O." localSheetId="1">#REF!</definedName>
    <definedName name="PWO_S.O.">#REF!</definedName>
    <definedName name="System_No_Details" localSheetId="1">#REF!</definedName>
    <definedName name="System_No_Details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" i="45" l="1"/>
  <c r="L47" i="45"/>
  <c r="K47" i="45"/>
  <c r="J47" i="45"/>
  <c r="I47" i="45"/>
  <c r="H47" i="45"/>
  <c r="G47" i="45"/>
  <c r="F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47" i="45" s="1"/>
  <c r="L28" i="45"/>
  <c r="L49" i="45" s="1"/>
  <c r="K28" i="45"/>
  <c r="J28" i="45"/>
  <c r="I28" i="45"/>
  <c r="H28" i="45"/>
  <c r="G28" i="45"/>
  <c r="F28" i="45"/>
  <c r="F49" i="45" s="1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28" i="45" s="1"/>
  <c r="F6" i="45"/>
  <c r="G6" i="45" s="1"/>
  <c r="M4" i="45"/>
  <c r="O1" i="45"/>
  <c r="G49" i="45" l="1"/>
  <c r="H49" i="45"/>
  <c r="I49" i="45"/>
  <c r="J49" i="45"/>
  <c r="K49" i="45"/>
  <c r="M49" i="45"/>
  <c r="F30" i="45"/>
  <c r="H6" i="45"/>
  <c r="G30" i="45"/>
  <c r="I6" i="45" l="1"/>
  <c r="H30" i="45"/>
  <c r="I30" i="45" l="1"/>
  <c r="J6" i="45"/>
  <c r="J30" i="45" l="1"/>
  <c r="K6" i="45"/>
  <c r="K30" i="45" l="1"/>
  <c r="L6" i="45"/>
  <c r="L30" i="45" s="1"/>
</calcChain>
</file>

<file path=xl/sharedStrings.xml><?xml version="1.0" encoding="utf-8"?>
<sst xmlns="http://schemas.openxmlformats.org/spreadsheetml/2006/main" count="94" uniqueCount="82">
  <si>
    <t>DEV-Number</t>
  </si>
  <si>
    <t>Description</t>
  </si>
  <si>
    <t>NJFLI 2026</t>
  </si>
  <si>
    <t>DEV-099</t>
  </si>
  <si>
    <t>General</t>
  </si>
  <si>
    <t>Week of</t>
  </si>
  <si>
    <t>Dates Used</t>
  </si>
  <si>
    <t>Days Used</t>
  </si>
  <si>
    <t>DEV-1803</t>
  </si>
  <si>
    <t>QSCADA Maint</t>
  </si>
  <si>
    <t>1 Day</t>
  </si>
  <si>
    <t>DEV-1804</t>
  </si>
  <si>
    <t>ConfigWiz Maint</t>
  </si>
  <si>
    <t>04/21/2026 – 04/24/2026</t>
  </si>
  <si>
    <t>4 Days</t>
  </si>
  <si>
    <t>DEV-1805</t>
  </si>
  <si>
    <t>TDMS-Plus Maint</t>
  </si>
  <si>
    <t>DEV-1806</t>
  </si>
  <si>
    <t>ePAQ-94XX</t>
  </si>
  <si>
    <t>DEV-2001</t>
  </si>
  <si>
    <t xml:space="preserve">OPC Client </t>
  </si>
  <si>
    <t>DEV-2002</t>
  </si>
  <si>
    <t>WorldView/PlusEditors</t>
  </si>
  <si>
    <t>DEV-2201</t>
  </si>
  <si>
    <t>MicroPAQ</t>
  </si>
  <si>
    <t>DEV-2301</t>
  </si>
  <si>
    <t>ePAQ 9710</t>
  </si>
  <si>
    <t>DEV-2302</t>
  </si>
  <si>
    <t>Eversource Gen II</t>
  </si>
  <si>
    <t>DEV-2303</t>
  </si>
  <si>
    <t>PSE&amp;G-LI, MicroPAQ</t>
  </si>
  <si>
    <t>DEV-2401</t>
  </si>
  <si>
    <t>61850/60870 ePAQ</t>
  </si>
  <si>
    <t>DEV-2402</t>
  </si>
  <si>
    <t>61850/60870 QSCADA</t>
  </si>
  <si>
    <t>Newport Utlities</t>
  </si>
  <si>
    <t>Rev01</t>
  </si>
  <si>
    <t>Scada12**</t>
  </si>
  <si>
    <t>NAME:</t>
  </si>
  <si>
    <t>WEEK ENDING:</t>
  </si>
  <si>
    <t>Emp No #:</t>
  </si>
  <si>
    <t xml:space="preserve">DIRECT  LABOR:      </t>
  </si>
  <si>
    <t>Line</t>
  </si>
  <si>
    <t>Work Dept. No.</t>
  </si>
  <si>
    <t>S.O./ S.C./ Dev</t>
  </si>
  <si>
    <t xml:space="preserve"> Customer Name</t>
  </si>
  <si>
    <t>Issue No.</t>
  </si>
  <si>
    <t>Sun</t>
  </si>
  <si>
    <t>Mon</t>
  </si>
  <si>
    <t>Tue</t>
  </si>
  <si>
    <t>Wed</t>
  </si>
  <si>
    <t xml:space="preserve"> Thu</t>
  </si>
  <si>
    <t>Fri</t>
  </si>
  <si>
    <t xml:space="preserve"> Sat</t>
  </si>
  <si>
    <t>T.Hours</t>
  </si>
  <si>
    <t xml:space="preserve"> </t>
  </si>
  <si>
    <t xml:space="preserve">                                                                                             TOTAL  DIRECT  HOURS:</t>
  </si>
  <si>
    <r>
      <t>INDIRECT  LABOR:</t>
    </r>
    <r>
      <rPr>
        <sz val="10"/>
        <rFont val="Arial"/>
        <family val="2"/>
      </rPr>
      <t xml:space="preserve">    </t>
    </r>
    <r>
      <rPr>
        <b/>
        <i/>
        <sz val="10"/>
        <rFont val="Arial"/>
        <family val="2"/>
      </rPr>
      <t xml:space="preserve">                                                                                                                    </t>
    </r>
  </si>
  <si>
    <t xml:space="preserve">(Explain under Comments)   </t>
  </si>
  <si>
    <t>Acc Num</t>
  </si>
  <si>
    <t>Function</t>
  </si>
  <si>
    <t xml:space="preserve"> Fri</t>
  </si>
  <si>
    <t>Supervision</t>
  </si>
  <si>
    <t>Holiday</t>
  </si>
  <si>
    <t xml:space="preserve">Meeting       </t>
  </si>
  <si>
    <t>Vacation</t>
  </si>
  <si>
    <t xml:space="preserve">Support Marketing  </t>
  </si>
  <si>
    <t>Support Manufacturing</t>
  </si>
  <si>
    <t xml:space="preserve">Training           </t>
  </si>
  <si>
    <t xml:space="preserve">Support Customer Service           </t>
  </si>
  <si>
    <t xml:space="preserve">Support Testing                   </t>
  </si>
  <si>
    <t xml:space="preserve">Support Engineering        </t>
  </si>
  <si>
    <t xml:space="preserve">Equipment Maintenance  </t>
  </si>
  <si>
    <t xml:space="preserve">Support Software       </t>
  </si>
  <si>
    <t>Meeting w/Vendor</t>
  </si>
  <si>
    <t>Other (Explain)</t>
  </si>
  <si>
    <t xml:space="preserve">                                                                                         TOTAL INDIRECT HOURS:</t>
  </si>
  <si>
    <t xml:space="preserve">                                                                      GRAND TOTAL DIRECT &amp; INDIRECT:</t>
  </si>
  <si>
    <r>
      <rPr>
        <i/>
        <sz val="10"/>
        <rFont val="Arial"/>
        <family val="2"/>
      </rPr>
      <t>Comments</t>
    </r>
    <r>
      <rPr>
        <sz val="10"/>
        <rFont val="Arial"/>
        <family val="2"/>
      </rPr>
      <t xml:space="preserve"> :            </t>
    </r>
  </si>
  <si>
    <t>Employee Signature:-</t>
  </si>
  <si>
    <t>Approved By:-</t>
  </si>
  <si>
    <t>Personal (NJFLI) No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</si>
</sst>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mm/dd/yyyy;@"/>
    <numFmt numFmtId="166" formatCode="yyyy\-mm\-dd;@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1"/>
      <name val="Arial"/>
      <family val="2"/>
    </font>
    <font>
      <i/>
      <sz val="8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i/>
      <sz val="6"/>
      <name val="Arial"/>
      <family val="2"/>
    </font>
    <font>
      <sz val="12"/>
      <name val="Calibri"/>
      <family val="2"/>
      <scheme val="minor"/>
    </font>
    <font>
      <sz val="10"/>
      <color theme="0"/>
      <name val="Arial"/>
      <family val="2"/>
    </font>
    <font>
      <b/>
      <i/>
      <sz val="9"/>
      <name val="Arial"/>
      <family val="2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</borders>
  <cellStyleXfs count="2">
    <xf numFmtId="0" fontId="0" fillId="0" borderId="0"/>
    <xf numFmtId="0" fontId="1" fillId="0" borderId="0"/>
  </cellStyleXfs>
  <cellXfs count="104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1" fillId="0" borderId="3" xfId="0" applyFont="1" applyBorder="1" applyAlignment="1" applyProtection="1">
      <alignment horizontal="center"/>
      <protection locked="0"/>
    </xf>
    <xf numFmtId="0" fontId="1" fillId="0" borderId="3" xfId="1" applyBorder="1" applyAlignment="1" applyProtection="1">
      <alignment horizontal="center"/>
      <protection locked="0"/>
    </xf>
    <xf numFmtId="0" fontId="1" fillId="0" borderId="3" xfId="1" applyBorder="1" applyAlignment="1" applyProtection="1">
      <alignment horizontal="center" vertical="center"/>
      <protection locked="0"/>
    </xf>
    <xf numFmtId="0" fontId="1" fillId="0" borderId="3" xfId="1" quotePrefix="1" applyBorder="1" applyAlignment="1" applyProtection="1">
      <alignment horizontal="center"/>
      <protection locked="0"/>
    </xf>
    <xf numFmtId="0" fontId="1" fillId="0" borderId="0" xfId="0" applyFont="1" applyAlignment="1">
      <alignment vertical="top"/>
    </xf>
    <xf numFmtId="49" fontId="14" fillId="0" borderId="17" xfId="0" applyNumberFormat="1" applyFont="1" applyBorder="1" applyAlignment="1">
      <alignment vertical="center"/>
    </xf>
    <xf numFmtId="49" fontId="14" fillId="0" borderId="0" xfId="0" applyNumberFormat="1" applyFont="1" applyAlignment="1">
      <alignment vertical="center"/>
    </xf>
    <xf numFmtId="164" fontId="10" fillId="0" borderId="3" xfId="0" applyNumberFormat="1" applyFont="1" applyBorder="1" applyAlignment="1">
      <alignment horizontal="center" wrapText="1"/>
    </xf>
    <xf numFmtId="0" fontId="10" fillId="0" borderId="1" xfId="0" applyFont="1" applyBorder="1" applyAlignment="1">
      <alignment horizontal="center" wrapText="1"/>
    </xf>
    <xf numFmtId="0" fontId="10" fillId="0" borderId="3" xfId="0" applyFont="1" applyBorder="1" applyAlignment="1">
      <alignment horizontal="center" wrapText="1"/>
    </xf>
    <xf numFmtId="0" fontId="10" fillId="0" borderId="2" xfId="0" applyFont="1" applyBorder="1" applyAlignment="1">
      <alignment horizontal="center" wrapText="1"/>
    </xf>
    <xf numFmtId="0" fontId="10" fillId="0" borderId="1" xfId="0" applyFont="1" applyBorder="1" applyAlignment="1">
      <alignment horizontal="center"/>
    </xf>
    <xf numFmtId="0" fontId="10" fillId="0" borderId="3" xfId="0" quotePrefix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13" fillId="0" borderId="3" xfId="0" quotePrefix="1" applyFont="1" applyBorder="1" applyAlignment="1">
      <alignment horizontal="center"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14" fontId="15" fillId="0" borderId="0" xfId="0" applyNumberFormat="1" applyFont="1"/>
    <xf numFmtId="0" fontId="7" fillId="0" borderId="0" xfId="0" applyFont="1" applyAlignment="1">
      <alignment horizontal="right"/>
    </xf>
    <xf numFmtId="49" fontId="8" fillId="0" borderId="0" xfId="0" applyNumberFormat="1" applyFont="1" applyAlignment="1">
      <alignment horizontal="left"/>
    </xf>
    <xf numFmtId="14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1" fillId="0" borderId="7" xfId="1" applyBorder="1" applyAlignment="1" applyProtection="1">
      <alignment horizontal="center"/>
      <protection locked="0"/>
    </xf>
    <xf numFmtId="0" fontId="1" fillId="0" borderId="0" xfId="0" applyFont="1"/>
    <xf numFmtId="0" fontId="11" fillId="0" borderId="0" xfId="0" applyFont="1" applyAlignment="1">
      <alignment horizontal="center" vertical="top"/>
    </xf>
    <xf numFmtId="0" fontId="15" fillId="0" borderId="0" xfId="0" applyFont="1"/>
    <xf numFmtId="0" fontId="15" fillId="0" borderId="0" xfId="0" applyFont="1" applyAlignment="1">
      <alignment wrapText="1"/>
    </xf>
    <xf numFmtId="49" fontId="13" fillId="0" borderId="3" xfId="0" applyNumberFormat="1" applyFont="1" applyBorder="1" applyAlignment="1">
      <alignment horizontal="center" wrapText="1"/>
    </xf>
    <xf numFmtId="165" fontId="11" fillId="0" borderId="0" xfId="0" applyNumberFormat="1" applyFont="1" applyProtection="1">
      <protection locked="0"/>
    </xf>
    <xf numFmtId="0" fontId="12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2" borderId="3" xfId="1" applyFill="1" applyBorder="1" applyAlignment="1" applyProtection="1">
      <alignment horizontal="center"/>
      <protection locked="0"/>
    </xf>
    <xf numFmtId="0" fontId="17" fillId="0" borderId="3" xfId="1" applyFont="1" applyBorder="1" applyAlignment="1" applyProtection="1">
      <alignment horizontal="center"/>
      <protection locked="0"/>
    </xf>
    <xf numFmtId="0" fontId="17" fillId="2" borderId="3" xfId="1" applyFont="1" applyFill="1" applyBorder="1" applyAlignment="1" applyProtection="1">
      <alignment horizontal="center"/>
      <protection locked="0"/>
    </xf>
    <xf numFmtId="166" fontId="15" fillId="0" borderId="0" xfId="0" applyNumberFormat="1" applyFont="1" applyAlignment="1">
      <alignment vertical="top"/>
    </xf>
    <xf numFmtId="0" fontId="2" fillId="0" borderId="0" xfId="0" applyFont="1" applyAlignment="1">
      <alignment horizontal="right" vertical="center" wrapText="1"/>
    </xf>
    <xf numFmtId="14" fontId="1" fillId="0" borderId="0" xfId="0" applyNumberFormat="1" applyFont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49" fontId="1" fillId="0" borderId="0" xfId="0" applyNumberFormat="1" applyFont="1"/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2" xfId="0" applyFont="1" applyBorder="1"/>
    <xf numFmtId="0" fontId="1" fillId="0" borderId="3" xfId="0" applyFont="1" applyBorder="1" applyProtection="1">
      <protection locked="0"/>
    </xf>
    <xf numFmtId="0" fontId="1" fillId="0" borderId="3" xfId="0" quotePrefix="1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49" fontId="1" fillId="0" borderId="5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6" fillId="0" borderId="8" xfId="0" applyNumberFormat="1" applyFont="1" applyBorder="1" applyAlignment="1">
      <alignment horizontal="left"/>
    </xf>
    <xf numFmtId="49" fontId="6" fillId="0" borderId="7" xfId="0" applyNumberFormat="1" applyFont="1" applyBorder="1" applyAlignment="1">
      <alignment horizontal="left"/>
    </xf>
    <xf numFmtId="0" fontId="6" fillId="0" borderId="11" xfId="0" quotePrefix="1" applyFont="1" applyBorder="1" applyAlignment="1">
      <alignment horizontal="right"/>
    </xf>
    <xf numFmtId="0" fontId="6" fillId="0" borderId="12" xfId="0" quotePrefix="1" applyFont="1" applyBorder="1" applyAlignment="1">
      <alignment horizontal="right"/>
    </xf>
    <xf numFmtId="0" fontId="6" fillId="0" borderId="7" xfId="0" quotePrefix="1" applyFont="1" applyBorder="1" applyAlignment="1">
      <alignment horizontal="right"/>
    </xf>
    <xf numFmtId="0" fontId="1" fillId="0" borderId="18" xfId="0" quotePrefix="1" applyFont="1" applyBorder="1" applyAlignment="1">
      <alignment horizontal="right" vertical="top"/>
    </xf>
    <xf numFmtId="0" fontId="1" fillId="0" borderId="19" xfId="0" quotePrefix="1" applyFont="1" applyBorder="1" applyAlignment="1">
      <alignment horizontal="right" vertical="top"/>
    </xf>
    <xf numFmtId="0" fontId="1" fillId="0" borderId="19" xfId="0" quotePrefix="1" applyFont="1" applyBorder="1" applyAlignment="1" applyProtection="1">
      <alignment horizontal="left" vertical="top" wrapText="1"/>
      <protection locked="0"/>
    </xf>
    <xf numFmtId="0" fontId="1" fillId="0" borderId="20" xfId="0" quotePrefix="1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7" fillId="0" borderId="0" xfId="0" applyNumberFormat="1" applyFont="1" applyProtection="1">
      <protection locked="0"/>
    </xf>
    <xf numFmtId="0" fontId="12" fillId="0" borderId="0" xfId="0" applyFont="1" applyAlignment="1">
      <alignment horizontal="right"/>
    </xf>
    <xf numFmtId="165" fontId="11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2" fillId="0" borderId="14" xfId="0" quotePrefix="1" applyFont="1" applyBorder="1" applyAlignment="1">
      <alignment horizontal="left"/>
    </xf>
    <xf numFmtId="0" fontId="12" fillId="0" borderId="15" xfId="0" quotePrefix="1" applyFont="1" applyBorder="1" applyAlignment="1">
      <alignment horizontal="left"/>
    </xf>
    <xf numFmtId="0" fontId="12" fillId="0" borderId="16" xfId="0" quotePrefix="1" applyFont="1" applyBorder="1" applyAlignment="1">
      <alignment horizontal="left"/>
    </xf>
    <xf numFmtId="0" fontId="6" fillId="0" borderId="11" xfId="0" quotePrefix="1" applyFont="1" applyBorder="1" applyAlignment="1">
      <alignment horizontal="center"/>
    </xf>
    <xf numFmtId="0" fontId="6" fillId="0" borderId="12" xfId="0" quotePrefix="1" applyFont="1" applyBorder="1" applyAlignment="1">
      <alignment horizontal="center"/>
    </xf>
    <xf numFmtId="0" fontId="6" fillId="0" borderId="13" xfId="0" quotePrefix="1" applyFont="1" applyBorder="1" applyAlignment="1">
      <alignment horizontal="center"/>
    </xf>
    <xf numFmtId="0" fontId="12" fillId="0" borderId="11" xfId="0" quotePrefix="1" applyFont="1" applyBorder="1" applyAlignment="1">
      <alignment horizontal="left"/>
    </xf>
    <xf numFmtId="0" fontId="12" fillId="0" borderId="12" xfId="0" quotePrefix="1" applyFont="1" applyBorder="1" applyAlignment="1">
      <alignment horizontal="left"/>
    </xf>
    <xf numFmtId="0" fontId="10" fillId="0" borderId="12" xfId="0" quotePrefix="1" applyFont="1" applyBorder="1" applyAlignment="1">
      <alignment horizontal="left"/>
    </xf>
    <xf numFmtId="0" fontId="10" fillId="0" borderId="7" xfId="0" quotePrefix="1" applyFont="1" applyBorder="1" applyAlignment="1">
      <alignment horizontal="left"/>
    </xf>
    <xf numFmtId="49" fontId="10" fillId="0" borderId="8" xfId="0" quotePrefix="1" applyNumberFormat="1" applyFont="1" applyBorder="1" applyAlignment="1">
      <alignment horizontal="center"/>
    </xf>
    <xf numFmtId="49" fontId="10" fillId="0" borderId="7" xfId="0" quotePrefix="1" applyNumberFormat="1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5">
    <dxf>
      <fill>
        <patternFill>
          <bgColor rgb="FFFFFF85"/>
        </patternFill>
      </fill>
    </dxf>
    <dxf>
      <fill>
        <patternFill>
          <bgColor rgb="FFFFFF89"/>
        </patternFill>
      </fill>
    </dxf>
    <dxf>
      <fill>
        <patternFill>
          <bgColor rgb="FFFFFF85"/>
        </patternFill>
      </fill>
    </dxf>
    <dxf>
      <fill>
        <patternFill>
          <bgColor rgb="FFFFFF89"/>
        </patternFill>
      </fill>
    </dxf>
    <dxf>
      <fill>
        <patternFill>
          <bgColor rgb="FFFFFF97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85"/>
      <color rgb="FFFFFF89"/>
      <color rgb="FFFFFF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85725</xdr:rowOff>
    </xdr:from>
    <xdr:to>
      <xdr:col>2</xdr:col>
      <xdr:colOff>619125</xdr:colOff>
      <xdr:row>4</xdr:row>
      <xdr:rowOff>38100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9A773FD-2524-4A44-91AC-6037D59E3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85725"/>
          <a:ext cx="12954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1</xdr:row>
      <xdr:rowOff>190500</xdr:rowOff>
    </xdr:from>
    <xdr:to>
      <xdr:col>7</xdr:col>
      <xdr:colOff>9525</xdr:colOff>
      <xdr:row>1</xdr:row>
      <xdr:rowOff>190500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7E21942F-4C23-49C8-9A59-0EE9A8348497}"/>
            </a:ext>
          </a:extLst>
        </xdr:cNvPr>
        <xdr:cNvCxnSpPr/>
      </xdr:nvCxnSpPr>
      <xdr:spPr>
        <a:xfrm>
          <a:off x="2533650" y="400050"/>
          <a:ext cx="1381125" cy="0"/>
        </a:xfrm>
        <a:prstGeom prst="line">
          <a:avLst/>
        </a:prstGeom>
        <a:ln>
          <a:solidFill>
            <a:schemeClr val="tx1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1015512</xdr:colOff>
      <xdr:row>3</xdr:row>
      <xdr:rowOff>200025</xdr:rowOff>
    </xdr:from>
    <xdr:to>
      <xdr:col>7</xdr:col>
      <xdr:colOff>0</xdr:colOff>
      <xdr:row>3</xdr:row>
      <xdr:rowOff>201491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331AEB0-B480-4D02-9BF5-D577E8AFD550}"/>
            </a:ext>
          </a:extLst>
        </xdr:cNvPr>
        <xdr:cNvCxnSpPr/>
      </xdr:nvCxnSpPr>
      <xdr:spPr>
        <a:xfrm flipV="1">
          <a:off x="2529987" y="647700"/>
          <a:ext cx="1375263" cy="1466"/>
        </a:xfrm>
        <a:prstGeom prst="line">
          <a:avLst/>
        </a:prstGeom>
        <a:ln>
          <a:solidFill>
            <a:schemeClr val="tx1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385397</xdr:colOff>
      <xdr:row>1</xdr:row>
      <xdr:rowOff>194897</xdr:rowOff>
    </xdr:from>
    <xdr:to>
      <xdr:col>13</xdr:col>
      <xdr:colOff>0</xdr:colOff>
      <xdr:row>2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F1960C7-CE1D-4F8B-ABC5-575EA076A611}"/>
            </a:ext>
          </a:extLst>
        </xdr:cNvPr>
        <xdr:cNvCxnSpPr/>
      </xdr:nvCxnSpPr>
      <xdr:spPr>
        <a:xfrm>
          <a:off x="5395547" y="404447"/>
          <a:ext cx="824278" cy="5128"/>
        </a:xfrm>
        <a:prstGeom prst="line">
          <a:avLst/>
        </a:prstGeom>
        <a:ln>
          <a:solidFill>
            <a:schemeClr val="tx1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386862</xdr:colOff>
      <xdr:row>52</xdr:row>
      <xdr:rowOff>174381</xdr:rowOff>
    </xdr:from>
    <xdr:to>
      <xdr:col>13</xdr:col>
      <xdr:colOff>130419</xdr:colOff>
      <xdr:row>52</xdr:row>
      <xdr:rowOff>174381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3DC483E6-CCB0-4C7C-9BC0-8FDBF3F3F01E}"/>
            </a:ext>
          </a:extLst>
        </xdr:cNvPr>
        <xdr:cNvCxnSpPr/>
      </xdr:nvCxnSpPr>
      <xdr:spPr>
        <a:xfrm>
          <a:off x="4644537" y="9423156"/>
          <a:ext cx="1705707" cy="0"/>
        </a:xfrm>
        <a:prstGeom prst="line">
          <a:avLst/>
        </a:prstGeom>
        <a:ln>
          <a:solidFill>
            <a:schemeClr val="tx1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52</xdr:row>
      <xdr:rowOff>172916</xdr:rowOff>
    </xdr:from>
    <xdr:to>
      <xdr:col>5</xdr:col>
      <xdr:colOff>33704</xdr:colOff>
      <xdr:row>52</xdr:row>
      <xdr:rowOff>172916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97A12092-A0A0-4790-A0DA-CE105138E56F}"/>
            </a:ext>
          </a:extLst>
        </xdr:cNvPr>
        <xdr:cNvCxnSpPr/>
      </xdr:nvCxnSpPr>
      <xdr:spPr>
        <a:xfrm>
          <a:off x="1514475" y="9421691"/>
          <a:ext cx="1681529" cy="0"/>
        </a:xfrm>
        <a:prstGeom prst="line">
          <a:avLst/>
        </a:prstGeom>
        <a:ln>
          <a:solidFill>
            <a:schemeClr val="tx1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K16"/>
  <sheetViews>
    <sheetView workbookViewId="0">
      <selection activeCell="E37" sqref="E37"/>
    </sheetView>
  </sheetViews>
  <sheetFormatPr defaultRowHeight="12.75" x14ac:dyDescent="0.2"/>
  <cols>
    <col min="2" max="2" width="13" customWidth="1"/>
    <col min="3" max="3" width="20.85546875" style="40" bestFit="1" customWidth="1"/>
    <col min="4" max="4" width="61.140625" bestFit="1" customWidth="1"/>
    <col min="9" max="9" width="15.7109375" customWidth="1"/>
    <col min="10" max="10" width="27.140625" customWidth="1"/>
    <col min="11" max="11" width="26.28515625" customWidth="1"/>
  </cols>
  <sheetData>
    <row r="2" spans="1:11" x14ac:dyDescent="0.2">
      <c r="B2" s="40" t="s">
        <v>0</v>
      </c>
      <c r="C2" s="40" t="s">
        <v>1</v>
      </c>
      <c r="D2" s="40"/>
      <c r="I2" s="40" t="s">
        <v>2</v>
      </c>
    </row>
    <row r="3" spans="1:11" x14ac:dyDescent="0.2">
      <c r="B3" t="s">
        <v>3</v>
      </c>
      <c r="C3" s="40" t="s">
        <v>4</v>
      </c>
      <c r="I3" s="55" t="s">
        <v>5</v>
      </c>
      <c r="J3" s="55" t="s">
        <v>6</v>
      </c>
      <c r="K3" s="55" t="s">
        <v>7</v>
      </c>
    </row>
    <row r="4" spans="1:11" x14ac:dyDescent="0.2">
      <c r="B4" t="s">
        <v>8</v>
      </c>
      <c r="C4" s="40" t="s">
        <v>9</v>
      </c>
      <c r="I4" s="56">
        <v>46068</v>
      </c>
      <c r="J4" s="56">
        <v>46071</v>
      </c>
      <c r="K4" s="57" t="s">
        <v>10</v>
      </c>
    </row>
    <row r="5" spans="1:11" x14ac:dyDescent="0.2">
      <c r="B5" t="s">
        <v>11</v>
      </c>
      <c r="C5" s="40" t="s">
        <v>12</v>
      </c>
      <c r="I5" s="56">
        <v>46131</v>
      </c>
      <c r="J5" s="57" t="s">
        <v>13</v>
      </c>
      <c r="K5" s="57" t="s">
        <v>14</v>
      </c>
    </row>
    <row r="6" spans="1:11" x14ac:dyDescent="0.2">
      <c r="B6" t="s">
        <v>15</v>
      </c>
      <c r="C6" s="40" t="s">
        <v>16</v>
      </c>
      <c r="I6" s="56">
        <v>46138</v>
      </c>
      <c r="J6" s="56">
        <v>46139</v>
      </c>
      <c r="K6" s="57" t="s">
        <v>10</v>
      </c>
    </row>
    <row r="7" spans="1:11" x14ac:dyDescent="0.2">
      <c r="B7" t="s">
        <v>17</v>
      </c>
      <c r="C7" s="40" t="s">
        <v>18</v>
      </c>
      <c r="D7" s="40"/>
    </row>
    <row r="8" spans="1:11" x14ac:dyDescent="0.2">
      <c r="B8" t="s">
        <v>19</v>
      </c>
      <c r="C8" s="40" t="s">
        <v>20</v>
      </c>
    </row>
    <row r="9" spans="1:11" x14ac:dyDescent="0.2">
      <c r="B9" t="s">
        <v>21</v>
      </c>
      <c r="C9" s="40" t="s">
        <v>22</v>
      </c>
      <c r="D9" s="40"/>
    </row>
    <row r="10" spans="1:11" x14ac:dyDescent="0.2">
      <c r="B10" t="s">
        <v>23</v>
      </c>
      <c r="C10" s="40" t="s">
        <v>24</v>
      </c>
    </row>
    <row r="11" spans="1:11" x14ac:dyDescent="0.2">
      <c r="B11" s="40" t="s">
        <v>25</v>
      </c>
      <c r="C11" s="40" t="s">
        <v>26</v>
      </c>
    </row>
    <row r="12" spans="1:11" x14ac:dyDescent="0.2">
      <c r="B12" t="s">
        <v>27</v>
      </c>
      <c r="C12" s="40" t="s">
        <v>28</v>
      </c>
    </row>
    <row r="13" spans="1:11" x14ac:dyDescent="0.2">
      <c r="B13" t="s">
        <v>29</v>
      </c>
      <c r="C13" s="40" t="s">
        <v>30</v>
      </c>
    </row>
    <row r="14" spans="1:11" x14ac:dyDescent="0.2">
      <c r="B14" s="40" t="s">
        <v>31</v>
      </c>
      <c r="C14" s="40" t="s">
        <v>32</v>
      </c>
    </row>
    <row r="15" spans="1:11" x14ac:dyDescent="0.2">
      <c r="B15" s="40" t="s">
        <v>33</v>
      </c>
      <c r="C15" s="40" t="s">
        <v>34</v>
      </c>
    </row>
    <row r="16" spans="1:11" x14ac:dyDescent="0.2">
      <c r="A16" s="11">
        <v>106</v>
      </c>
      <c r="B16" s="9">
        <v>23030</v>
      </c>
      <c r="C16" s="51" t="s">
        <v>35</v>
      </c>
    </row>
  </sheetData>
  <conditionalFormatting sqref="A16">
    <cfRule type="expression" priority="1" stopIfTrue="1">
      <formula>$B16&lt;&gt;""</formula>
    </cfRule>
    <cfRule type="expression" dxfId="1" priority="3">
      <formula>AND(LEFT($C16, 1) &lt;&gt; "S", LEFT($C16, 1) &lt;&gt; "D",NOT(ISBLANK($C16)))</formula>
    </cfRule>
  </conditionalFormatting>
  <conditionalFormatting sqref="C16">
    <cfRule type="expression" dxfId="0" priority="2">
      <formula>AND($C16&lt;&gt;"",$D16="")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FBFDF-98DA-4B49-85CF-C91F5029D95E}">
  <sheetPr codeName="Sheet28"/>
  <dimension ref="A1:P252"/>
  <sheetViews>
    <sheetView showZeros="0" tabSelected="1" view="pageBreakPreview" zoomScaleNormal="100" zoomScaleSheetLayoutView="100" zoomScalePageLayoutView="145" workbookViewId="0">
      <selection activeCell="H11" sqref="H11"/>
    </sheetView>
  </sheetViews>
  <sheetFormatPr defaultRowHeight="12.75" x14ac:dyDescent="0.2"/>
  <cols>
    <col min="1" max="1" width="4.140625" style="1" customWidth="1"/>
    <col min="2" max="2" width="8.5703125" style="1" customWidth="1"/>
    <col min="3" max="3" width="10" style="31" customWidth="1"/>
    <col min="4" max="4" width="15.28515625" style="1" customWidth="1"/>
    <col min="5" max="5" width="9.42578125" style="1" customWidth="1"/>
    <col min="6" max="12" width="5.5703125" style="1" bestFit="1" customWidth="1"/>
    <col min="13" max="13" width="6.85546875" style="1" customWidth="1"/>
    <col min="14" max="14" width="4.28515625" style="1" customWidth="1"/>
    <col min="15" max="15" width="4.7109375" style="1" customWidth="1"/>
    <col min="16" max="16" width="51" style="48" customWidth="1"/>
    <col min="17" max="17" width="37.28515625" style="48" customWidth="1"/>
    <col min="18" max="18" width="11.85546875" style="48" customWidth="1"/>
    <col min="19" max="16384" width="9.140625" style="48"/>
  </cols>
  <sheetData>
    <row r="1" spans="1:16" ht="16.5" customHeight="1" x14ac:dyDescent="0.2">
      <c r="A1" s="40"/>
      <c r="B1" s="43" t="s">
        <v>36</v>
      </c>
      <c r="C1" s="58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32">
        <f ca="1">(TODAY() - WEEKDAY(TODAY()) + 7)</f>
        <v>46207</v>
      </c>
      <c r="P1" s="50"/>
    </row>
    <row r="2" spans="1:16" ht="15.75" x14ac:dyDescent="0.25">
      <c r="A2" s="42" t="s">
        <v>37</v>
      </c>
      <c r="B2" s="42" t="s">
        <v>36</v>
      </c>
      <c r="C2" s="58"/>
      <c r="D2" s="46" t="s">
        <v>38</v>
      </c>
      <c r="E2" s="88"/>
      <c r="F2" s="88"/>
      <c r="G2" s="88"/>
      <c r="H2" s="40"/>
      <c r="I2" s="89" t="s">
        <v>39</v>
      </c>
      <c r="J2" s="89"/>
      <c r="K2" s="89"/>
      <c r="L2" s="90"/>
      <c r="M2" s="90"/>
      <c r="N2" s="45"/>
      <c r="O2" s="40"/>
      <c r="P2" s="50"/>
    </row>
    <row r="3" spans="1:16" ht="3" customHeight="1" x14ac:dyDescent="0.25">
      <c r="A3" s="40"/>
      <c r="B3" s="33"/>
      <c r="C3" s="34"/>
      <c r="D3" s="40"/>
      <c r="E3" s="40"/>
      <c r="F3" s="40"/>
      <c r="G3" s="33"/>
      <c r="H3" s="33"/>
      <c r="I3" s="33"/>
      <c r="J3" s="35"/>
      <c r="K3" s="36"/>
      <c r="L3" s="36"/>
      <c r="M3" s="40"/>
      <c r="N3" s="40"/>
      <c r="O3" s="40"/>
      <c r="P3" s="50"/>
    </row>
    <row r="4" spans="1:16" ht="16.5" customHeight="1" x14ac:dyDescent="0.2">
      <c r="A4" s="13"/>
      <c r="B4" s="40"/>
      <c r="C4" s="58"/>
      <c r="D4" s="47" t="s">
        <v>40</v>
      </c>
      <c r="E4" s="91"/>
      <c r="F4" s="91"/>
      <c r="G4" s="91"/>
      <c r="H4" s="41"/>
      <c r="I4" s="38"/>
      <c r="J4" s="38"/>
      <c r="K4" s="38"/>
      <c r="L4" s="38"/>
      <c r="M4" s="54">
        <f>L2</f>
        <v>0</v>
      </c>
      <c r="N4" s="37"/>
      <c r="O4"/>
      <c r="P4" s="50"/>
    </row>
    <row r="5" spans="1:16" ht="8.25" customHeight="1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/>
      <c r="P5" s="50"/>
    </row>
    <row r="6" spans="1:16" ht="12.75" customHeight="1" x14ac:dyDescent="0.2">
      <c r="A6" s="92" t="s">
        <v>41</v>
      </c>
      <c r="B6" s="93"/>
      <c r="C6" s="93"/>
      <c r="D6" s="93"/>
      <c r="E6" s="94"/>
      <c r="F6" s="24">
        <f>L2-6</f>
        <v>-6</v>
      </c>
      <c r="G6" s="24">
        <f t="shared" ref="G6:L6" si="0">F6+1</f>
        <v>-5</v>
      </c>
      <c r="H6" s="24">
        <f t="shared" si="0"/>
        <v>-4</v>
      </c>
      <c r="I6" s="24">
        <f t="shared" si="0"/>
        <v>-3</v>
      </c>
      <c r="J6" s="24">
        <f t="shared" si="0"/>
        <v>-2</v>
      </c>
      <c r="K6" s="24">
        <f t="shared" si="0"/>
        <v>-1</v>
      </c>
      <c r="L6" s="24">
        <f t="shared" si="0"/>
        <v>0</v>
      </c>
      <c r="M6" s="25"/>
      <c r="N6" s="26"/>
      <c r="O6" s="40"/>
      <c r="P6" s="50"/>
    </row>
    <row r="7" spans="1:16" s="49" customFormat="1" ht="14.25" customHeight="1" x14ac:dyDescent="0.2">
      <c r="A7" s="17" t="s">
        <v>42</v>
      </c>
      <c r="B7" s="27" t="s">
        <v>43</v>
      </c>
      <c r="C7" s="44" t="s">
        <v>44</v>
      </c>
      <c r="D7" s="18" t="s">
        <v>45</v>
      </c>
      <c r="E7" s="18" t="s">
        <v>46</v>
      </c>
      <c r="F7" s="18" t="s">
        <v>47</v>
      </c>
      <c r="G7" s="18" t="s">
        <v>48</v>
      </c>
      <c r="H7" s="18" t="s">
        <v>49</v>
      </c>
      <c r="I7" s="18" t="s">
        <v>50</v>
      </c>
      <c r="J7" s="18" t="s">
        <v>51</v>
      </c>
      <c r="K7" s="18" t="s">
        <v>52</v>
      </c>
      <c r="L7" s="18" t="s">
        <v>53</v>
      </c>
      <c r="M7" s="18" t="s">
        <v>54</v>
      </c>
      <c r="N7" s="19" t="s">
        <v>42</v>
      </c>
      <c r="O7" s="2"/>
    </row>
    <row r="8" spans="1:16" x14ac:dyDescent="0.2">
      <c r="A8" s="20">
        <v>1</v>
      </c>
      <c r="B8" s="11"/>
      <c r="C8" s="9"/>
      <c r="D8" s="53"/>
      <c r="E8" s="39"/>
      <c r="F8" s="10"/>
      <c r="G8" s="10"/>
      <c r="H8" s="10"/>
      <c r="I8" s="10"/>
      <c r="J8" s="10"/>
      <c r="K8" s="10"/>
      <c r="L8" s="10"/>
      <c r="M8" s="59">
        <f>SUM(F8:L8)</f>
        <v>0</v>
      </c>
      <c r="N8" s="23">
        <v>1</v>
      </c>
      <c r="O8" s="60"/>
      <c r="P8" s="50"/>
    </row>
    <row r="9" spans="1:16" x14ac:dyDescent="0.2">
      <c r="A9" s="20">
        <v>2</v>
      </c>
      <c r="B9" s="11"/>
      <c r="C9" s="9"/>
      <c r="D9" s="52"/>
      <c r="E9" s="10"/>
      <c r="F9" s="10"/>
      <c r="G9" s="10"/>
      <c r="H9" s="10"/>
      <c r="I9" s="10"/>
      <c r="J9" s="10"/>
      <c r="K9" s="10"/>
      <c r="L9" s="10"/>
      <c r="M9" s="59">
        <f t="shared" ref="M9:M27" si="1">SUM(F9:L9)</f>
        <v>0</v>
      </c>
      <c r="N9" s="23">
        <v>2</v>
      </c>
      <c r="O9" s="60"/>
      <c r="P9" s="50"/>
    </row>
    <row r="10" spans="1:16" x14ac:dyDescent="0.2">
      <c r="A10" s="20">
        <v>3</v>
      </c>
      <c r="B10" s="11"/>
      <c r="C10" s="9"/>
      <c r="D10" s="51"/>
      <c r="E10" s="10"/>
      <c r="F10" s="10"/>
      <c r="G10" s="11"/>
      <c r="H10" s="11"/>
      <c r="I10" s="11"/>
      <c r="J10" s="10"/>
      <c r="K10" s="10"/>
      <c r="L10" s="10"/>
      <c r="M10" s="59">
        <f t="shared" si="1"/>
        <v>0</v>
      </c>
      <c r="N10" s="23">
        <v>3</v>
      </c>
      <c r="O10" s="60"/>
      <c r="P10" s="50"/>
    </row>
    <row r="11" spans="1:16" x14ac:dyDescent="0.2">
      <c r="A11" s="20">
        <v>4</v>
      </c>
      <c r="B11" s="11"/>
      <c r="C11" s="9"/>
      <c r="D11" s="10"/>
      <c r="E11" s="10"/>
      <c r="F11" s="10"/>
      <c r="G11" s="10"/>
      <c r="H11" s="10"/>
      <c r="I11" s="10"/>
      <c r="J11" s="10"/>
      <c r="K11" s="10"/>
      <c r="L11" s="10"/>
      <c r="M11" s="59">
        <f t="shared" si="1"/>
        <v>0</v>
      </c>
      <c r="N11" s="23">
        <v>4</v>
      </c>
      <c r="O11" s="60"/>
      <c r="P11" s="50"/>
    </row>
    <row r="12" spans="1:16" x14ac:dyDescent="0.2">
      <c r="A12" s="20">
        <v>5</v>
      </c>
      <c r="B12" s="11"/>
      <c r="C12" s="9"/>
      <c r="D12" s="10"/>
      <c r="E12" s="10"/>
      <c r="F12" s="10"/>
      <c r="G12" s="10"/>
      <c r="H12" s="10"/>
      <c r="I12" s="10"/>
      <c r="J12" s="10"/>
      <c r="K12" s="10"/>
      <c r="L12" s="10"/>
      <c r="M12" s="59">
        <f t="shared" si="1"/>
        <v>0</v>
      </c>
      <c r="N12" s="23">
        <v>5</v>
      </c>
      <c r="O12" s="60"/>
      <c r="P12" s="50"/>
    </row>
    <row r="13" spans="1:16" x14ac:dyDescent="0.2">
      <c r="A13" s="20">
        <v>6</v>
      </c>
      <c r="B13" s="11"/>
      <c r="C13" s="9"/>
      <c r="D13" s="10"/>
      <c r="E13" s="10"/>
      <c r="F13" s="10"/>
      <c r="G13" s="10"/>
      <c r="H13" s="10"/>
      <c r="I13" s="10"/>
      <c r="J13" s="10"/>
      <c r="K13" s="10"/>
      <c r="L13" s="10"/>
      <c r="M13" s="59">
        <f t="shared" si="1"/>
        <v>0</v>
      </c>
      <c r="N13" s="23">
        <v>6</v>
      </c>
      <c r="O13" s="60"/>
      <c r="P13" s="50"/>
    </row>
    <row r="14" spans="1:16" x14ac:dyDescent="0.2">
      <c r="A14" s="20">
        <v>7</v>
      </c>
      <c r="B14" s="11"/>
      <c r="C14" s="9"/>
      <c r="D14" s="10"/>
      <c r="E14" s="39"/>
      <c r="F14" s="10"/>
      <c r="G14" s="11"/>
      <c r="H14" s="11"/>
      <c r="I14" s="10"/>
      <c r="J14" s="10"/>
      <c r="K14" s="10"/>
      <c r="L14" s="10"/>
      <c r="M14" s="59">
        <f t="shared" si="1"/>
        <v>0</v>
      </c>
      <c r="N14" s="23">
        <v>7</v>
      </c>
      <c r="O14" s="60"/>
      <c r="P14" s="50"/>
    </row>
    <row r="15" spans="1:16" x14ac:dyDescent="0.2">
      <c r="A15" s="20">
        <v>8</v>
      </c>
      <c r="B15" s="10"/>
      <c r="C15" s="9"/>
      <c r="D15" s="10"/>
      <c r="E15" s="10"/>
      <c r="F15" s="10"/>
      <c r="G15" s="10"/>
      <c r="H15" s="10"/>
      <c r="I15" s="10"/>
      <c r="J15" s="10"/>
      <c r="K15" s="11"/>
      <c r="L15" s="10"/>
      <c r="M15" s="59">
        <f t="shared" si="1"/>
        <v>0</v>
      </c>
      <c r="N15" s="23">
        <v>8</v>
      </c>
      <c r="O15" s="60"/>
      <c r="P15" s="50"/>
    </row>
    <row r="16" spans="1:16" x14ac:dyDescent="0.2">
      <c r="A16" s="20">
        <v>9</v>
      </c>
      <c r="B16" s="11"/>
      <c r="C16" s="9"/>
      <c r="D16" s="10"/>
      <c r="E16" s="10"/>
      <c r="F16" s="10"/>
      <c r="G16" s="12"/>
      <c r="H16" s="10"/>
      <c r="I16" s="61"/>
      <c r="J16" s="10"/>
      <c r="K16" s="11"/>
      <c r="L16" s="10"/>
      <c r="M16" s="59">
        <f t="shared" si="1"/>
        <v>0</v>
      </c>
      <c r="N16" s="23">
        <v>9</v>
      </c>
      <c r="O16" s="60"/>
      <c r="P16" s="50"/>
    </row>
    <row r="17" spans="1:15" x14ac:dyDescent="0.2">
      <c r="A17" s="20">
        <v>10</v>
      </c>
      <c r="B17" s="11"/>
      <c r="C17" s="9"/>
      <c r="D17" s="10"/>
      <c r="E17" s="10"/>
      <c r="F17" s="10"/>
      <c r="G17" s="12"/>
      <c r="H17" s="10"/>
      <c r="I17" s="10"/>
      <c r="J17" s="10"/>
      <c r="K17" s="10"/>
      <c r="L17" s="10"/>
      <c r="M17" s="59">
        <f t="shared" si="1"/>
        <v>0</v>
      </c>
      <c r="N17" s="23">
        <v>10</v>
      </c>
      <c r="O17" s="60"/>
    </row>
    <row r="18" spans="1:15" x14ac:dyDescent="0.2">
      <c r="A18" s="20">
        <v>11</v>
      </c>
      <c r="B18" s="11"/>
      <c r="C18" s="9"/>
      <c r="D18" s="10"/>
      <c r="E18" s="10"/>
      <c r="F18" s="10"/>
      <c r="G18" s="10"/>
      <c r="H18" s="10"/>
      <c r="I18" s="9"/>
      <c r="J18" s="9"/>
      <c r="K18" s="9"/>
      <c r="L18" s="10"/>
      <c r="M18" s="59">
        <f t="shared" si="1"/>
        <v>0</v>
      </c>
      <c r="N18" s="23">
        <v>11</v>
      </c>
      <c r="O18" s="60"/>
    </row>
    <row r="19" spans="1:15" x14ac:dyDescent="0.2">
      <c r="A19" s="20">
        <v>12</v>
      </c>
      <c r="B19" s="9"/>
      <c r="C19" s="9"/>
      <c r="D19" s="10"/>
      <c r="E19" s="9"/>
      <c r="F19" s="9"/>
      <c r="G19" s="9"/>
      <c r="H19" s="9"/>
      <c r="I19" s="9"/>
      <c r="J19" s="9"/>
      <c r="K19" s="9"/>
      <c r="L19" s="9"/>
      <c r="M19" s="59">
        <f t="shared" si="1"/>
        <v>0</v>
      </c>
      <c r="N19" s="23">
        <v>12</v>
      </c>
      <c r="O19" s="60"/>
    </row>
    <row r="20" spans="1:15" x14ac:dyDescent="0.2">
      <c r="A20" s="20">
        <v>13</v>
      </c>
      <c r="B20" s="9"/>
      <c r="C20" s="9"/>
      <c r="D20" s="10"/>
      <c r="E20" s="9"/>
      <c r="F20" s="9"/>
      <c r="G20" s="9"/>
      <c r="H20" s="9"/>
      <c r="I20" s="9"/>
      <c r="J20" s="9"/>
      <c r="K20" s="9"/>
      <c r="L20" s="9"/>
      <c r="M20" s="59">
        <f t="shared" si="1"/>
        <v>0</v>
      </c>
      <c r="N20" s="23">
        <v>13</v>
      </c>
      <c r="O20" s="60"/>
    </row>
    <row r="21" spans="1:15" x14ac:dyDescent="0.2">
      <c r="A21" s="20">
        <v>14</v>
      </c>
      <c r="B21" s="9"/>
      <c r="C21" s="9"/>
      <c r="D21" s="10"/>
      <c r="E21" s="9"/>
      <c r="F21" s="9"/>
      <c r="G21" s="9"/>
      <c r="H21" s="9"/>
      <c r="I21" s="9"/>
      <c r="J21" s="9"/>
      <c r="K21" s="9"/>
      <c r="L21" s="9"/>
      <c r="M21" s="59">
        <f t="shared" si="1"/>
        <v>0</v>
      </c>
      <c r="N21" s="23">
        <v>14</v>
      </c>
      <c r="O21" s="60"/>
    </row>
    <row r="22" spans="1:15" x14ac:dyDescent="0.2">
      <c r="A22" s="20">
        <v>15</v>
      </c>
      <c r="B22" s="9"/>
      <c r="C22" s="9"/>
      <c r="D22" s="10"/>
      <c r="E22" s="9"/>
      <c r="F22" s="9"/>
      <c r="G22" s="9"/>
      <c r="H22" s="9"/>
      <c r="I22" s="9"/>
      <c r="J22" s="9"/>
      <c r="K22" s="9"/>
      <c r="L22" s="9"/>
      <c r="M22" s="59">
        <f t="shared" si="1"/>
        <v>0</v>
      </c>
      <c r="N22" s="23">
        <v>15</v>
      </c>
      <c r="O22" s="60"/>
    </row>
    <row r="23" spans="1:15" x14ac:dyDescent="0.2">
      <c r="A23" s="20">
        <v>16</v>
      </c>
      <c r="B23" s="9"/>
      <c r="C23" s="9"/>
      <c r="D23" s="10"/>
      <c r="E23" s="9"/>
      <c r="F23" s="9"/>
      <c r="G23" s="9"/>
      <c r="H23" s="9"/>
      <c r="I23" s="9"/>
      <c r="J23" s="9"/>
      <c r="K23" s="9"/>
      <c r="L23" s="9"/>
      <c r="M23" s="59">
        <f t="shared" si="1"/>
        <v>0</v>
      </c>
      <c r="N23" s="23">
        <v>16</v>
      </c>
      <c r="O23" s="60"/>
    </row>
    <row r="24" spans="1:15" x14ac:dyDescent="0.2">
      <c r="A24" s="20">
        <v>17</v>
      </c>
      <c r="B24" s="9"/>
      <c r="C24" s="9"/>
      <c r="D24" s="10"/>
      <c r="E24" s="9"/>
      <c r="F24" s="9"/>
      <c r="G24" s="9"/>
      <c r="H24" s="9"/>
      <c r="I24" s="9"/>
      <c r="J24" s="9"/>
      <c r="K24" s="9"/>
      <c r="L24" s="9"/>
      <c r="M24" s="59">
        <f t="shared" si="1"/>
        <v>0</v>
      </c>
      <c r="N24" s="23">
        <v>17</v>
      </c>
      <c r="O24" s="60"/>
    </row>
    <row r="25" spans="1:15" x14ac:dyDescent="0.2">
      <c r="A25" s="20">
        <v>18</v>
      </c>
      <c r="B25" s="9"/>
      <c r="C25" s="9"/>
      <c r="D25" s="10"/>
      <c r="E25" s="9"/>
      <c r="F25" s="9"/>
      <c r="G25" s="9"/>
      <c r="H25" s="9"/>
      <c r="I25" s="9"/>
      <c r="J25" s="9"/>
      <c r="K25" s="9"/>
      <c r="L25" s="9"/>
      <c r="M25" s="59">
        <f t="shared" si="1"/>
        <v>0</v>
      </c>
      <c r="N25" s="23">
        <v>18</v>
      </c>
      <c r="O25" s="60"/>
    </row>
    <row r="26" spans="1:15" x14ac:dyDescent="0.2">
      <c r="A26" s="20">
        <v>19</v>
      </c>
      <c r="B26" s="9"/>
      <c r="C26" s="9"/>
      <c r="D26" s="10"/>
      <c r="E26" s="9"/>
      <c r="F26" s="9"/>
      <c r="G26" s="9"/>
      <c r="H26" s="9"/>
      <c r="I26" s="9"/>
      <c r="J26" s="9"/>
      <c r="K26" s="9"/>
      <c r="L26" s="9"/>
      <c r="M26" s="59">
        <f t="shared" si="1"/>
        <v>0</v>
      </c>
      <c r="N26" s="23">
        <v>19</v>
      </c>
      <c r="O26" s="60"/>
    </row>
    <row r="27" spans="1:15" x14ac:dyDescent="0.2">
      <c r="A27" s="20">
        <v>20</v>
      </c>
      <c r="B27" s="9"/>
      <c r="C27" s="9"/>
      <c r="D27" s="10"/>
      <c r="E27" s="9"/>
      <c r="F27" s="9"/>
      <c r="G27" s="9"/>
      <c r="H27" s="9"/>
      <c r="I27" s="9"/>
      <c r="J27" s="9"/>
      <c r="K27" s="9"/>
      <c r="L27" s="9"/>
      <c r="M27" s="59">
        <f t="shared" si="1"/>
        <v>0</v>
      </c>
      <c r="N27" s="23">
        <v>20</v>
      </c>
      <c r="O27" s="60"/>
    </row>
    <row r="28" spans="1:15" x14ac:dyDescent="0.2">
      <c r="A28" s="78" t="s">
        <v>56</v>
      </c>
      <c r="B28" s="79"/>
      <c r="C28" s="79"/>
      <c r="D28" s="79"/>
      <c r="E28" s="80"/>
      <c r="F28" s="5">
        <f t="shared" ref="F28:M28" si="2">SUM(F8:F27)</f>
        <v>0</v>
      </c>
      <c r="G28" s="5">
        <f t="shared" si="2"/>
        <v>0</v>
      </c>
      <c r="H28" s="5">
        <f t="shared" si="2"/>
        <v>0</v>
      </c>
      <c r="I28" s="5">
        <f t="shared" si="2"/>
        <v>0</v>
      </c>
      <c r="J28" s="5">
        <f t="shared" si="2"/>
        <v>0</v>
      </c>
      <c r="K28" s="5">
        <f t="shared" si="2"/>
        <v>0</v>
      </c>
      <c r="L28" s="5">
        <f t="shared" si="2"/>
        <v>0</v>
      </c>
      <c r="M28" s="5">
        <f t="shared" si="2"/>
        <v>0</v>
      </c>
      <c r="N28" s="62" t="s">
        <v>55</v>
      </c>
      <c r="O28" s="60"/>
    </row>
    <row r="29" spans="1:15" x14ac:dyDescent="0.2">
      <c r="A29" s="95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7"/>
      <c r="O29" s="60"/>
    </row>
    <row r="30" spans="1:15" ht="12.75" customHeight="1" x14ac:dyDescent="0.2">
      <c r="A30" s="98" t="s">
        <v>57</v>
      </c>
      <c r="B30" s="99"/>
      <c r="C30" s="99"/>
      <c r="D30" s="100" t="s">
        <v>58</v>
      </c>
      <c r="E30" s="101"/>
      <c r="F30" s="16">
        <f>F6</f>
        <v>-6</v>
      </c>
      <c r="G30" s="16">
        <f t="shared" ref="G30:L30" si="3">G6</f>
        <v>-5</v>
      </c>
      <c r="H30" s="16">
        <f t="shared" si="3"/>
        <v>-4</v>
      </c>
      <c r="I30" s="16">
        <f t="shared" si="3"/>
        <v>-3</v>
      </c>
      <c r="J30" s="16">
        <f t="shared" si="3"/>
        <v>-2</v>
      </c>
      <c r="K30" s="16">
        <f t="shared" si="3"/>
        <v>-1</v>
      </c>
      <c r="L30" s="16">
        <f t="shared" si="3"/>
        <v>0</v>
      </c>
      <c r="M30" s="63"/>
      <c r="N30" s="64"/>
      <c r="O30" s="60"/>
    </row>
    <row r="31" spans="1:15" s="49" customFormat="1" ht="12.75" customHeight="1" x14ac:dyDescent="0.2">
      <c r="A31" s="20" t="s">
        <v>42</v>
      </c>
      <c r="B31" s="21" t="s">
        <v>59</v>
      </c>
      <c r="C31" s="102" t="s">
        <v>60</v>
      </c>
      <c r="D31" s="103"/>
      <c r="E31" s="22"/>
      <c r="F31" s="22" t="s">
        <v>47</v>
      </c>
      <c r="G31" s="22" t="s">
        <v>48</v>
      </c>
      <c r="H31" s="22" t="s">
        <v>49</v>
      </c>
      <c r="I31" s="22" t="s">
        <v>50</v>
      </c>
      <c r="J31" s="22" t="s">
        <v>51</v>
      </c>
      <c r="K31" s="22" t="s">
        <v>61</v>
      </c>
      <c r="L31" s="22" t="s">
        <v>53</v>
      </c>
      <c r="M31" s="22" t="s">
        <v>54</v>
      </c>
      <c r="N31" s="23" t="s">
        <v>42</v>
      </c>
      <c r="O31" s="2"/>
    </row>
    <row r="32" spans="1:15" x14ac:dyDescent="0.2">
      <c r="A32" s="3">
        <v>1</v>
      </c>
      <c r="B32" s="63"/>
      <c r="C32" s="76" t="s">
        <v>62</v>
      </c>
      <c r="D32" s="77"/>
      <c r="E32" s="65"/>
      <c r="F32" s="9"/>
      <c r="G32" s="10"/>
      <c r="H32" s="10"/>
      <c r="I32" s="10"/>
      <c r="J32" s="10"/>
      <c r="K32" s="10"/>
      <c r="L32" s="10"/>
      <c r="M32" s="59">
        <f>SUM(F32:L32)</f>
        <v>0</v>
      </c>
      <c r="N32" s="4">
        <v>1</v>
      </c>
      <c r="O32" s="60"/>
    </row>
    <row r="33" spans="1:15" x14ac:dyDescent="0.2">
      <c r="A33" s="3">
        <v>2</v>
      </c>
      <c r="B33" s="59"/>
      <c r="C33" s="76" t="s">
        <v>63</v>
      </c>
      <c r="D33" s="77"/>
      <c r="E33" s="9"/>
      <c r="F33" s="9"/>
      <c r="G33" s="10"/>
      <c r="H33" s="10"/>
      <c r="I33" s="10"/>
      <c r="J33" s="10"/>
      <c r="K33" s="10"/>
      <c r="L33" s="10"/>
      <c r="M33" s="59">
        <f t="shared" ref="M33:M46" si="4">SUM(F33:L33)</f>
        <v>0</v>
      </c>
      <c r="N33" s="4">
        <v>2</v>
      </c>
      <c r="O33" s="60"/>
    </row>
    <row r="34" spans="1:15" x14ac:dyDescent="0.2">
      <c r="A34" s="3">
        <v>3</v>
      </c>
      <c r="B34" s="59"/>
      <c r="C34" s="76" t="s">
        <v>81</v>
      </c>
      <c r="D34" s="77"/>
      <c r="E34" s="9"/>
      <c r="F34" s="9"/>
      <c r="G34" s="10"/>
      <c r="H34" s="10"/>
      <c r="I34" s="10"/>
      <c r="J34" s="10"/>
      <c r="K34" s="10"/>
      <c r="L34" s="10"/>
      <c r="M34" s="59">
        <f t="shared" si="4"/>
        <v>0</v>
      </c>
      <c r="N34" s="4">
        <v>3</v>
      </c>
      <c r="O34" s="60"/>
    </row>
    <row r="35" spans="1:15" x14ac:dyDescent="0.2">
      <c r="A35" s="3">
        <v>4</v>
      </c>
      <c r="B35" s="59"/>
      <c r="C35" s="76" t="s">
        <v>64</v>
      </c>
      <c r="D35" s="77"/>
      <c r="E35" s="9"/>
      <c r="F35" s="9"/>
      <c r="G35" s="10"/>
      <c r="H35" s="10"/>
      <c r="I35" s="10"/>
      <c r="J35" s="10"/>
      <c r="K35" s="10"/>
      <c r="L35" s="10"/>
      <c r="M35" s="59">
        <f t="shared" si="4"/>
        <v>0</v>
      </c>
      <c r="N35" s="4">
        <v>4</v>
      </c>
      <c r="O35" s="60"/>
    </row>
    <row r="36" spans="1:15" x14ac:dyDescent="0.2">
      <c r="A36" s="3">
        <v>5</v>
      </c>
      <c r="B36" s="59"/>
      <c r="C36" s="76" t="s">
        <v>65</v>
      </c>
      <c r="D36" s="77"/>
      <c r="E36" s="9"/>
      <c r="F36" s="9"/>
      <c r="G36" s="10"/>
      <c r="H36" s="10"/>
      <c r="I36" s="10"/>
      <c r="J36" s="10"/>
      <c r="K36" s="10"/>
      <c r="L36" s="10"/>
      <c r="M36" s="59">
        <f t="shared" si="4"/>
        <v>0</v>
      </c>
      <c r="N36" s="4">
        <v>5</v>
      </c>
      <c r="O36" s="60"/>
    </row>
    <row r="37" spans="1:15" x14ac:dyDescent="0.2">
      <c r="A37" s="3">
        <v>6</v>
      </c>
      <c r="B37" s="59"/>
      <c r="C37" s="76" t="s">
        <v>66</v>
      </c>
      <c r="D37" s="77"/>
      <c r="E37" s="9"/>
      <c r="F37" s="9"/>
      <c r="G37" s="12"/>
      <c r="H37" s="12"/>
      <c r="I37" s="12"/>
      <c r="J37" s="12"/>
      <c r="K37" s="12"/>
      <c r="L37" s="10"/>
      <c r="M37" s="59">
        <f t="shared" si="4"/>
        <v>0</v>
      </c>
      <c r="N37" s="4">
        <v>6</v>
      </c>
      <c r="O37" s="60"/>
    </row>
    <row r="38" spans="1:15" x14ac:dyDescent="0.2">
      <c r="A38" s="3">
        <v>7</v>
      </c>
      <c r="B38" s="59"/>
      <c r="C38" s="76" t="s">
        <v>67</v>
      </c>
      <c r="D38" s="77"/>
      <c r="E38" s="9"/>
      <c r="F38" s="9"/>
      <c r="G38" s="10"/>
      <c r="H38" s="10"/>
      <c r="I38" s="10"/>
      <c r="J38" s="10"/>
      <c r="K38" s="12"/>
      <c r="L38" s="10"/>
      <c r="M38" s="59">
        <f t="shared" si="4"/>
        <v>0</v>
      </c>
      <c r="N38" s="4">
        <v>7</v>
      </c>
      <c r="O38" s="60"/>
    </row>
    <row r="39" spans="1:15" x14ac:dyDescent="0.2">
      <c r="A39" s="3">
        <v>8</v>
      </c>
      <c r="B39" s="59"/>
      <c r="C39" s="76" t="s">
        <v>68</v>
      </c>
      <c r="D39" s="77"/>
      <c r="E39" s="9"/>
      <c r="F39" s="9"/>
      <c r="G39" s="10"/>
      <c r="H39" s="10"/>
      <c r="I39" s="10"/>
      <c r="J39" s="10"/>
      <c r="K39" s="10"/>
      <c r="L39" s="10"/>
      <c r="M39" s="59">
        <f t="shared" si="4"/>
        <v>0</v>
      </c>
      <c r="N39" s="4">
        <v>8</v>
      </c>
      <c r="O39" s="60"/>
    </row>
    <row r="40" spans="1:15" x14ac:dyDescent="0.2">
      <c r="A40" s="3">
        <v>9</v>
      </c>
      <c r="B40" s="59"/>
      <c r="C40" s="76" t="s">
        <v>69</v>
      </c>
      <c r="D40" s="77"/>
      <c r="E40" s="9"/>
      <c r="F40" s="9"/>
      <c r="G40" s="12"/>
      <c r="H40" s="12"/>
      <c r="I40" s="12"/>
      <c r="J40" s="12"/>
      <c r="K40" s="10"/>
      <c r="L40" s="10"/>
      <c r="M40" s="59">
        <f t="shared" si="4"/>
        <v>0</v>
      </c>
      <c r="N40" s="4">
        <v>9</v>
      </c>
      <c r="O40" s="60"/>
    </row>
    <row r="41" spans="1:15" x14ac:dyDescent="0.2">
      <c r="A41" s="3">
        <v>10</v>
      </c>
      <c r="B41" s="59"/>
      <c r="C41" s="76" t="s">
        <v>70</v>
      </c>
      <c r="D41" s="77"/>
      <c r="E41" s="9"/>
      <c r="F41" s="9"/>
      <c r="G41" s="12"/>
      <c r="H41" s="10"/>
      <c r="I41" s="12"/>
      <c r="J41" s="12"/>
      <c r="K41" s="12"/>
      <c r="L41" s="10"/>
      <c r="M41" s="59">
        <f t="shared" si="4"/>
        <v>0</v>
      </c>
      <c r="N41" s="4">
        <v>10</v>
      </c>
      <c r="O41" s="60"/>
    </row>
    <row r="42" spans="1:15" x14ac:dyDescent="0.2">
      <c r="A42" s="3">
        <v>11</v>
      </c>
      <c r="B42" s="59"/>
      <c r="C42" s="76" t="s">
        <v>71</v>
      </c>
      <c r="D42" s="77"/>
      <c r="E42" s="9"/>
      <c r="F42" s="9"/>
      <c r="G42" s="12"/>
      <c r="H42" s="10"/>
      <c r="I42" s="10"/>
      <c r="J42" s="10"/>
      <c r="K42" s="10"/>
      <c r="L42" s="10"/>
      <c r="M42" s="59">
        <f t="shared" si="4"/>
        <v>0</v>
      </c>
      <c r="N42" s="4">
        <v>11</v>
      </c>
      <c r="O42" s="60"/>
    </row>
    <row r="43" spans="1:15" x14ac:dyDescent="0.2">
      <c r="A43" s="3">
        <v>12</v>
      </c>
      <c r="B43" s="59"/>
      <c r="C43" s="76" t="s">
        <v>72</v>
      </c>
      <c r="D43" s="77"/>
      <c r="E43" s="9"/>
      <c r="F43" s="9"/>
      <c r="G43" s="11"/>
      <c r="H43" s="10"/>
      <c r="I43" s="10"/>
      <c r="J43" s="10"/>
      <c r="K43" s="10"/>
      <c r="L43" s="10"/>
      <c r="M43" s="59">
        <f t="shared" si="4"/>
        <v>0</v>
      </c>
      <c r="N43" s="4">
        <v>12</v>
      </c>
      <c r="O43" s="60"/>
    </row>
    <row r="44" spans="1:15" x14ac:dyDescent="0.2">
      <c r="A44" s="3">
        <v>13</v>
      </c>
      <c r="B44" s="59"/>
      <c r="C44" s="76" t="s">
        <v>73</v>
      </c>
      <c r="D44" s="77"/>
      <c r="E44" s="9"/>
      <c r="F44" s="9"/>
      <c r="G44" s="10"/>
      <c r="H44" s="10"/>
      <c r="I44" s="10"/>
      <c r="J44" s="10"/>
      <c r="K44" s="12"/>
      <c r="L44" s="10"/>
      <c r="M44" s="59">
        <f t="shared" si="4"/>
        <v>0</v>
      </c>
      <c r="N44" s="4">
        <v>13</v>
      </c>
      <c r="O44" s="60"/>
    </row>
    <row r="45" spans="1:15" x14ac:dyDescent="0.2">
      <c r="A45" s="3">
        <v>14</v>
      </c>
      <c r="B45" s="59"/>
      <c r="C45" s="76" t="s">
        <v>74</v>
      </c>
      <c r="D45" s="77"/>
      <c r="E45" s="9"/>
      <c r="F45" s="9"/>
      <c r="G45" s="66"/>
      <c r="H45" s="9"/>
      <c r="I45" s="9"/>
      <c r="J45" s="9"/>
      <c r="K45" s="9"/>
      <c r="L45" s="9"/>
      <c r="M45" s="59">
        <f t="shared" si="4"/>
        <v>0</v>
      </c>
      <c r="N45" s="4">
        <v>14</v>
      </c>
      <c r="O45" s="60"/>
    </row>
    <row r="46" spans="1:15" x14ac:dyDescent="0.2">
      <c r="A46" s="3">
        <v>15</v>
      </c>
      <c r="B46" s="59"/>
      <c r="C46" s="76" t="s">
        <v>75</v>
      </c>
      <c r="D46" s="77"/>
      <c r="E46" s="9"/>
      <c r="F46" s="9"/>
      <c r="G46" s="9"/>
      <c r="H46" s="9"/>
      <c r="I46" s="9"/>
      <c r="J46" s="9"/>
      <c r="K46" s="9"/>
      <c r="L46" s="9"/>
      <c r="M46" s="59">
        <f t="shared" si="4"/>
        <v>0</v>
      </c>
      <c r="N46" s="4">
        <v>15</v>
      </c>
      <c r="O46" s="60"/>
    </row>
    <row r="47" spans="1:15" x14ac:dyDescent="0.2">
      <c r="A47" s="78" t="s">
        <v>76</v>
      </c>
      <c r="B47" s="79"/>
      <c r="C47" s="79"/>
      <c r="D47" s="79"/>
      <c r="E47" s="80"/>
      <c r="F47" s="5">
        <f t="shared" ref="F47:M47" si="5">SUM(F32:F46)</f>
        <v>0</v>
      </c>
      <c r="G47" s="5">
        <f t="shared" si="5"/>
        <v>0</v>
      </c>
      <c r="H47" s="5">
        <f t="shared" si="5"/>
        <v>0</v>
      </c>
      <c r="I47" s="5">
        <f t="shared" si="5"/>
        <v>0</v>
      </c>
      <c r="J47" s="5">
        <f t="shared" si="5"/>
        <v>0</v>
      </c>
      <c r="K47" s="5">
        <f t="shared" si="5"/>
        <v>0</v>
      </c>
      <c r="L47" s="5">
        <f t="shared" si="5"/>
        <v>0</v>
      </c>
      <c r="M47" s="5">
        <f t="shared" si="5"/>
        <v>0</v>
      </c>
      <c r="N47" s="62"/>
      <c r="O47" s="60"/>
    </row>
    <row r="48" spans="1:15" ht="2.1" customHeight="1" x14ac:dyDescent="0.2">
      <c r="A48" s="67"/>
      <c r="B48" s="59"/>
      <c r="C48" s="68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62"/>
      <c r="O48" s="60"/>
    </row>
    <row r="49" spans="1:15" ht="20.100000000000001" customHeight="1" x14ac:dyDescent="0.2">
      <c r="A49" s="6" t="s">
        <v>77</v>
      </c>
      <c r="B49" s="69"/>
      <c r="C49" s="70"/>
      <c r="D49" s="69"/>
      <c r="E49" s="69"/>
      <c r="F49" s="7">
        <f t="shared" ref="F49:L49" si="6">+F28+F47</f>
        <v>0</v>
      </c>
      <c r="G49" s="7">
        <f t="shared" si="6"/>
        <v>0</v>
      </c>
      <c r="H49" s="7">
        <f t="shared" si="6"/>
        <v>0</v>
      </c>
      <c r="I49" s="7">
        <f t="shared" si="6"/>
        <v>0</v>
      </c>
      <c r="J49" s="7">
        <f t="shared" si="6"/>
        <v>0</v>
      </c>
      <c r="K49" s="7">
        <f t="shared" si="6"/>
        <v>0</v>
      </c>
      <c r="L49" s="7">
        <f t="shared" si="6"/>
        <v>0</v>
      </c>
      <c r="M49" s="7">
        <f>+M28+M47</f>
        <v>0</v>
      </c>
      <c r="N49" s="71"/>
      <c r="O49" s="60"/>
    </row>
    <row r="50" spans="1:15" ht="91.5" customHeight="1" x14ac:dyDescent="0.2">
      <c r="A50" s="81" t="s">
        <v>78</v>
      </c>
      <c r="B50" s="82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4"/>
      <c r="O50" s="60"/>
    </row>
    <row r="51" spans="1:15" ht="13.5" customHeight="1" x14ac:dyDescent="0.2">
      <c r="A51" s="72"/>
      <c r="B51" s="73"/>
      <c r="C51" s="14"/>
      <c r="D51" s="14"/>
      <c r="E51" s="8"/>
      <c r="F51" s="74"/>
      <c r="G51" s="60"/>
      <c r="H51" s="60"/>
      <c r="I51" s="60"/>
      <c r="J51" s="60"/>
      <c r="K51" s="60"/>
      <c r="L51" s="60"/>
      <c r="M51" s="60"/>
      <c r="N51" s="60"/>
      <c r="O51" s="60"/>
    </row>
    <row r="52" spans="1:15" ht="8.25" customHeight="1" x14ac:dyDescent="0.2">
      <c r="A52" s="72"/>
      <c r="B52" s="73"/>
      <c r="C52" s="15"/>
      <c r="D52" s="15"/>
      <c r="E52" s="8"/>
      <c r="F52" s="74"/>
      <c r="G52" s="60"/>
      <c r="H52" s="60"/>
      <c r="I52" s="60"/>
      <c r="J52" s="60"/>
      <c r="K52" s="60"/>
      <c r="L52" s="60"/>
      <c r="M52" s="60"/>
      <c r="N52" s="60"/>
      <c r="O52" s="60"/>
    </row>
    <row r="53" spans="1:15" ht="10.5" customHeight="1" x14ac:dyDescent="0.2">
      <c r="A53" s="8"/>
      <c r="B53" s="85" t="s">
        <v>79</v>
      </c>
      <c r="C53" s="85"/>
      <c r="D53" s="86">
        <f>E2</f>
        <v>0</v>
      </c>
      <c r="E53" s="87"/>
      <c r="F53" s="60"/>
      <c r="G53" s="85" t="s">
        <v>80</v>
      </c>
      <c r="H53" s="85"/>
      <c r="I53" s="85"/>
      <c r="J53" s="87"/>
      <c r="K53" s="87"/>
      <c r="L53" s="87"/>
      <c r="M53" s="87"/>
      <c r="N53" s="60"/>
      <c r="O53" s="60"/>
    </row>
    <row r="54" spans="1:15" ht="10.5" customHeight="1" x14ac:dyDescent="0.2">
      <c r="A54" s="8"/>
      <c r="B54" s="28"/>
      <c r="C54" s="28"/>
      <c r="D54" s="30"/>
      <c r="E54" s="29"/>
      <c r="F54" s="60"/>
      <c r="G54" s="28"/>
      <c r="H54" s="28"/>
      <c r="I54" s="28"/>
      <c r="J54" s="29"/>
      <c r="K54" s="29"/>
      <c r="L54" s="29"/>
      <c r="M54" s="29"/>
      <c r="N54" s="60"/>
      <c r="O54" s="60"/>
    </row>
    <row r="55" spans="1:15" x14ac:dyDescent="0.2">
      <c r="A55" s="60"/>
      <c r="B55" s="60"/>
      <c r="C55" s="75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</row>
    <row r="56" spans="1:15" x14ac:dyDescent="0.2">
      <c r="A56" s="60"/>
      <c r="B56" s="60"/>
      <c r="C56" s="75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</row>
    <row r="57" spans="1:15" x14ac:dyDescent="0.2">
      <c r="A57" s="60"/>
      <c r="B57" s="60"/>
      <c r="C57" s="75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5" x14ac:dyDescent="0.2">
      <c r="A58" s="60"/>
      <c r="B58" s="60"/>
      <c r="C58" s="75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</row>
    <row r="59" spans="1:15" x14ac:dyDescent="0.2">
      <c r="A59" s="60"/>
      <c r="B59" s="60"/>
      <c r="C59" s="75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</row>
    <row r="60" spans="1:15" x14ac:dyDescent="0.2">
      <c r="A60" s="60"/>
      <c r="B60" s="60"/>
      <c r="C60" s="75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</row>
    <row r="61" spans="1:15" x14ac:dyDescent="0.2">
      <c r="A61" s="60"/>
      <c r="B61" s="60"/>
      <c r="C61" s="75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</row>
    <row r="62" spans="1:15" x14ac:dyDescent="0.2">
      <c r="A62" s="60"/>
      <c r="B62" s="60"/>
      <c r="C62" s="75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</row>
    <row r="63" spans="1:15" x14ac:dyDescent="0.2">
      <c r="A63" s="60"/>
      <c r="B63" s="60"/>
      <c r="C63" s="75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</row>
    <row r="64" spans="1:15" x14ac:dyDescent="0.2">
      <c r="A64" s="60"/>
      <c r="B64" s="60"/>
      <c r="C64" s="75"/>
      <c r="D64" s="60"/>
      <c r="E64" s="60"/>
      <c r="F64" s="60"/>
      <c r="G64" s="60"/>
      <c r="H64" s="60"/>
      <c r="I64" s="60"/>
      <c r="J64" s="60"/>
      <c r="K64" s="60"/>
      <c r="L64" s="60"/>
      <c r="M64" s="60"/>
      <c r="N64" s="60"/>
      <c r="O64" s="60"/>
    </row>
    <row r="65" spans="1:15" x14ac:dyDescent="0.2">
      <c r="A65" s="60"/>
      <c r="B65" s="60"/>
      <c r="C65" s="75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</row>
    <row r="66" spans="1:15" x14ac:dyDescent="0.2">
      <c r="A66" s="60"/>
      <c r="B66" s="60"/>
      <c r="C66" s="75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</row>
    <row r="67" spans="1:15" x14ac:dyDescent="0.2">
      <c r="A67" s="60"/>
      <c r="B67" s="60"/>
      <c r="C67" s="75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</row>
    <row r="68" spans="1:15" x14ac:dyDescent="0.2">
      <c r="A68" s="60"/>
      <c r="B68" s="60"/>
      <c r="C68" s="75"/>
      <c r="D68" s="60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</row>
    <row r="69" spans="1:15" x14ac:dyDescent="0.2">
      <c r="A69" s="60"/>
      <c r="B69" s="60"/>
      <c r="C69" s="75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</row>
    <row r="70" spans="1:15" x14ac:dyDescent="0.2">
      <c r="A70" s="60"/>
      <c r="B70" s="60"/>
      <c r="C70" s="75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</row>
    <row r="71" spans="1:15" x14ac:dyDescent="0.2">
      <c r="A71" s="60"/>
      <c r="B71" s="60"/>
      <c r="C71" s="75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</row>
    <row r="72" spans="1:15" x14ac:dyDescent="0.2">
      <c r="A72" s="60"/>
      <c r="B72" s="60"/>
      <c r="C72" s="75"/>
      <c r="D72" s="60"/>
      <c r="E72" s="60"/>
      <c r="F72" s="60"/>
      <c r="G72" s="60"/>
      <c r="H72" s="60"/>
      <c r="I72" s="60"/>
      <c r="J72" s="60"/>
      <c r="K72" s="60"/>
      <c r="L72" s="60"/>
      <c r="M72" s="60"/>
      <c r="N72" s="60"/>
      <c r="O72" s="60"/>
    </row>
    <row r="73" spans="1:15" x14ac:dyDescent="0.2">
      <c r="A73" s="60"/>
      <c r="B73" s="60"/>
      <c r="C73" s="75"/>
      <c r="D73" s="60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</row>
    <row r="74" spans="1:15" x14ac:dyDescent="0.2">
      <c r="A74" s="60"/>
      <c r="B74" s="60"/>
      <c r="C74" s="75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</row>
    <row r="75" spans="1:15" x14ac:dyDescent="0.2">
      <c r="A75" s="60"/>
      <c r="B75" s="60"/>
      <c r="C75" s="75"/>
      <c r="D75" s="60"/>
      <c r="E75" s="60"/>
      <c r="F75" s="60"/>
      <c r="G75" s="60"/>
      <c r="H75" s="60"/>
      <c r="I75" s="60"/>
      <c r="J75" s="60"/>
      <c r="K75" s="60"/>
      <c r="L75" s="60"/>
      <c r="M75" s="60"/>
      <c r="N75" s="60"/>
      <c r="O75" s="60"/>
    </row>
    <row r="76" spans="1:15" x14ac:dyDescent="0.2">
      <c r="A76" s="60"/>
      <c r="B76" s="60"/>
      <c r="C76" s="75"/>
      <c r="D76" s="60"/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</row>
    <row r="77" spans="1:15" x14ac:dyDescent="0.2">
      <c r="A77" s="60"/>
      <c r="B77" s="60"/>
      <c r="C77" s="75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</row>
    <row r="78" spans="1:15" x14ac:dyDescent="0.2">
      <c r="A78" s="60"/>
      <c r="B78" s="60"/>
      <c r="C78" s="75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</row>
    <row r="79" spans="1:15" x14ac:dyDescent="0.2">
      <c r="A79" s="60"/>
      <c r="B79" s="60"/>
      <c r="C79" s="75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</row>
    <row r="80" spans="1:15" x14ac:dyDescent="0.2">
      <c r="A80" s="60"/>
      <c r="B80" s="60"/>
      <c r="C80" s="75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</row>
    <row r="81" spans="1:15" x14ac:dyDescent="0.2">
      <c r="A81" s="60"/>
      <c r="B81" s="60"/>
      <c r="C81" s="75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</row>
    <row r="82" spans="1:15" x14ac:dyDescent="0.2">
      <c r="A82" s="60"/>
      <c r="B82" s="60"/>
      <c r="C82" s="75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</row>
    <row r="83" spans="1:15" x14ac:dyDescent="0.2">
      <c r="A83" s="60"/>
      <c r="B83" s="60"/>
      <c r="C83" s="75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</row>
    <row r="84" spans="1:15" x14ac:dyDescent="0.2">
      <c r="A84" s="60"/>
      <c r="B84" s="60"/>
      <c r="C84" s="75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</row>
    <row r="85" spans="1:15" x14ac:dyDescent="0.2">
      <c r="A85" s="60"/>
      <c r="B85" s="60"/>
      <c r="C85" s="75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</row>
    <row r="86" spans="1:15" x14ac:dyDescent="0.2">
      <c r="A86" s="60"/>
      <c r="B86" s="60"/>
      <c r="C86" s="75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</row>
    <row r="87" spans="1:15" x14ac:dyDescent="0.2">
      <c r="A87" s="60"/>
      <c r="B87" s="60"/>
      <c r="C87" s="75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</row>
    <row r="88" spans="1:15" x14ac:dyDescent="0.2">
      <c r="A88" s="60"/>
      <c r="B88" s="60"/>
      <c r="C88" s="75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</row>
    <row r="89" spans="1:15" x14ac:dyDescent="0.2">
      <c r="A89" s="60"/>
      <c r="B89" s="60"/>
      <c r="C89" s="75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</row>
    <row r="90" spans="1:15" x14ac:dyDescent="0.2">
      <c r="A90" s="60"/>
      <c r="B90" s="60"/>
      <c r="C90" s="75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</row>
    <row r="91" spans="1:15" x14ac:dyDescent="0.2">
      <c r="A91" s="60"/>
      <c r="B91" s="60"/>
      <c r="C91" s="75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</row>
    <row r="92" spans="1:15" x14ac:dyDescent="0.2">
      <c r="A92" s="60"/>
      <c r="B92" s="60"/>
      <c r="C92" s="75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</row>
    <row r="93" spans="1:15" x14ac:dyDescent="0.2">
      <c r="A93" s="60"/>
      <c r="B93" s="60"/>
      <c r="C93" s="75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</row>
    <row r="94" spans="1:15" x14ac:dyDescent="0.2">
      <c r="A94" s="60"/>
      <c r="B94" s="60"/>
      <c r="C94" s="75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</row>
    <row r="95" spans="1:15" x14ac:dyDescent="0.2">
      <c r="A95" s="60"/>
      <c r="B95" s="60"/>
      <c r="C95" s="75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</row>
    <row r="96" spans="1:15" x14ac:dyDescent="0.2">
      <c r="A96" s="60"/>
      <c r="B96" s="60"/>
      <c r="C96" s="75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</row>
    <row r="97" spans="1:15" x14ac:dyDescent="0.2">
      <c r="A97" s="60"/>
      <c r="B97" s="60"/>
      <c r="C97" s="75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</row>
    <row r="98" spans="1:15" x14ac:dyDescent="0.2">
      <c r="A98" s="60"/>
      <c r="B98" s="60"/>
      <c r="C98" s="75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</row>
    <row r="99" spans="1:15" x14ac:dyDescent="0.2">
      <c r="A99" s="60"/>
      <c r="B99" s="60"/>
      <c r="C99" s="75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</row>
    <row r="100" spans="1:15" x14ac:dyDescent="0.2">
      <c r="A100" s="60"/>
      <c r="B100" s="60"/>
      <c r="C100" s="75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</row>
    <row r="101" spans="1:15" x14ac:dyDescent="0.2">
      <c r="A101" s="60"/>
      <c r="B101" s="60"/>
      <c r="C101" s="75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</row>
    <row r="102" spans="1:15" x14ac:dyDescent="0.2">
      <c r="A102" s="60"/>
      <c r="B102" s="60"/>
      <c r="C102" s="75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</row>
    <row r="103" spans="1:15" x14ac:dyDescent="0.2">
      <c r="A103" s="60"/>
      <c r="B103" s="60"/>
      <c r="C103" s="75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</row>
    <row r="104" spans="1:15" x14ac:dyDescent="0.2">
      <c r="A104" s="60"/>
      <c r="B104" s="60"/>
      <c r="C104" s="75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</row>
    <row r="105" spans="1:15" x14ac:dyDescent="0.2">
      <c r="A105" s="60"/>
      <c r="B105" s="60"/>
      <c r="C105" s="75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</row>
    <row r="106" spans="1:15" x14ac:dyDescent="0.2">
      <c r="A106" s="60"/>
      <c r="B106" s="60"/>
      <c r="C106" s="75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</row>
    <row r="107" spans="1:15" x14ac:dyDescent="0.2">
      <c r="A107" s="60"/>
      <c r="B107" s="60"/>
      <c r="C107" s="75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</row>
    <row r="108" spans="1:15" x14ac:dyDescent="0.2">
      <c r="A108" s="60"/>
      <c r="B108" s="60"/>
      <c r="C108" s="75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</row>
    <row r="109" spans="1:15" x14ac:dyDescent="0.2">
      <c r="A109" s="60"/>
      <c r="B109" s="60"/>
      <c r="C109" s="75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</row>
    <row r="110" spans="1:15" x14ac:dyDescent="0.2">
      <c r="A110" s="60"/>
      <c r="B110" s="60"/>
      <c r="C110" s="75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</row>
    <row r="111" spans="1:15" x14ac:dyDescent="0.2">
      <c r="A111" s="60"/>
      <c r="B111" s="60"/>
      <c r="C111" s="75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</row>
    <row r="112" spans="1:15" x14ac:dyDescent="0.2">
      <c r="A112" s="60"/>
      <c r="B112" s="60"/>
      <c r="C112" s="75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</row>
    <row r="113" spans="1:15" x14ac:dyDescent="0.2">
      <c r="A113" s="60"/>
      <c r="B113" s="60"/>
      <c r="C113" s="75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</row>
    <row r="114" spans="1:15" x14ac:dyDescent="0.2">
      <c r="A114" s="60"/>
      <c r="B114" s="60"/>
      <c r="C114" s="75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</row>
    <row r="115" spans="1:15" x14ac:dyDescent="0.2">
      <c r="A115" s="60"/>
      <c r="B115" s="60"/>
      <c r="C115" s="75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</row>
    <row r="116" spans="1:15" x14ac:dyDescent="0.2">
      <c r="A116" s="60"/>
      <c r="B116" s="60"/>
      <c r="C116" s="75"/>
      <c r="D116" s="60"/>
      <c r="E116" s="60"/>
      <c r="F116" s="60"/>
      <c r="G116" s="60"/>
      <c r="H116" s="60"/>
      <c r="I116" s="60"/>
      <c r="J116" s="60"/>
      <c r="K116" s="60"/>
      <c r="L116" s="60"/>
      <c r="M116" s="60"/>
      <c r="N116" s="60"/>
      <c r="O116" s="60"/>
    </row>
    <row r="117" spans="1:15" x14ac:dyDescent="0.2">
      <c r="A117" s="60"/>
      <c r="B117" s="60"/>
      <c r="C117" s="75"/>
      <c r="D117" s="60"/>
      <c r="E117" s="60"/>
      <c r="F117" s="60"/>
      <c r="G117" s="60"/>
      <c r="H117" s="60"/>
      <c r="I117" s="60"/>
      <c r="J117" s="60"/>
      <c r="K117" s="60"/>
      <c r="L117" s="60"/>
      <c r="M117" s="60"/>
      <c r="N117" s="60"/>
      <c r="O117" s="60"/>
    </row>
    <row r="118" spans="1:15" x14ac:dyDescent="0.2">
      <c r="A118" s="60"/>
      <c r="B118" s="60"/>
      <c r="C118" s="75"/>
      <c r="D118" s="60"/>
      <c r="E118" s="60"/>
      <c r="F118" s="60"/>
      <c r="G118" s="60"/>
      <c r="H118" s="60"/>
      <c r="I118" s="60"/>
      <c r="J118" s="60"/>
      <c r="K118" s="60"/>
      <c r="L118" s="60"/>
      <c r="M118" s="60"/>
      <c r="N118" s="60"/>
      <c r="O118" s="60"/>
    </row>
    <row r="119" spans="1:15" x14ac:dyDescent="0.2">
      <c r="A119" s="60"/>
      <c r="B119" s="60"/>
      <c r="C119" s="75"/>
      <c r="D119" s="60"/>
      <c r="E119" s="60"/>
      <c r="F119" s="60"/>
      <c r="G119" s="60"/>
      <c r="H119" s="60"/>
      <c r="I119" s="60"/>
      <c r="J119" s="60"/>
      <c r="K119" s="60"/>
      <c r="L119" s="60"/>
      <c r="M119" s="60"/>
      <c r="N119" s="60"/>
      <c r="O119" s="60"/>
    </row>
    <row r="120" spans="1:15" x14ac:dyDescent="0.2">
      <c r="A120" s="60"/>
      <c r="B120" s="60"/>
      <c r="C120" s="75"/>
      <c r="D120" s="60"/>
      <c r="E120" s="60"/>
      <c r="F120" s="60"/>
      <c r="G120" s="60"/>
      <c r="H120" s="60"/>
      <c r="I120" s="60"/>
      <c r="J120" s="60"/>
      <c r="K120" s="60"/>
      <c r="L120" s="60"/>
      <c r="M120" s="60"/>
      <c r="N120" s="60"/>
      <c r="O120" s="60"/>
    </row>
    <row r="121" spans="1:15" x14ac:dyDescent="0.2">
      <c r="A121" s="60"/>
      <c r="B121" s="60"/>
      <c r="C121" s="75"/>
      <c r="D121" s="60"/>
      <c r="E121" s="60"/>
      <c r="F121" s="60"/>
      <c r="G121" s="60"/>
      <c r="H121" s="60"/>
      <c r="I121" s="60"/>
      <c r="J121" s="60"/>
      <c r="K121" s="60"/>
      <c r="L121" s="60"/>
      <c r="M121" s="60"/>
      <c r="N121" s="60"/>
      <c r="O121" s="60"/>
    </row>
    <row r="122" spans="1:15" x14ac:dyDescent="0.2">
      <c r="A122" s="60"/>
      <c r="B122" s="60"/>
      <c r="C122" s="75"/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</row>
    <row r="123" spans="1:15" x14ac:dyDescent="0.2">
      <c r="A123" s="60"/>
      <c r="B123" s="60"/>
      <c r="C123" s="75"/>
      <c r="D123" s="60"/>
      <c r="E123" s="60"/>
      <c r="F123" s="60"/>
      <c r="G123" s="60"/>
      <c r="H123" s="60"/>
      <c r="I123" s="60"/>
      <c r="J123" s="60"/>
      <c r="K123" s="60"/>
      <c r="L123" s="60"/>
      <c r="M123" s="60"/>
      <c r="N123" s="60"/>
      <c r="O123" s="60"/>
    </row>
    <row r="124" spans="1:15" x14ac:dyDescent="0.2">
      <c r="A124" s="60"/>
      <c r="B124" s="60"/>
      <c r="C124" s="75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</row>
    <row r="125" spans="1:15" x14ac:dyDescent="0.2">
      <c r="A125" s="60"/>
      <c r="B125" s="60"/>
      <c r="C125" s="75"/>
      <c r="D125" s="60"/>
      <c r="E125" s="60"/>
      <c r="F125" s="60"/>
      <c r="G125" s="60"/>
      <c r="H125" s="60"/>
      <c r="I125" s="60"/>
      <c r="J125" s="60"/>
      <c r="K125" s="60"/>
      <c r="L125" s="60"/>
      <c r="M125" s="60"/>
      <c r="N125" s="60"/>
      <c r="O125" s="60"/>
    </row>
    <row r="126" spans="1:15" x14ac:dyDescent="0.2">
      <c r="A126" s="60"/>
      <c r="B126" s="60"/>
      <c r="C126" s="75"/>
      <c r="D126" s="60"/>
      <c r="E126" s="60"/>
      <c r="F126" s="60"/>
      <c r="G126" s="60"/>
      <c r="H126" s="60"/>
      <c r="I126" s="60"/>
      <c r="J126" s="60"/>
      <c r="K126" s="60"/>
      <c r="L126" s="60"/>
      <c r="M126" s="60"/>
      <c r="N126" s="60"/>
      <c r="O126" s="60"/>
    </row>
    <row r="127" spans="1:15" x14ac:dyDescent="0.2">
      <c r="A127" s="60"/>
      <c r="B127" s="60"/>
      <c r="C127" s="75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</row>
    <row r="128" spans="1:15" x14ac:dyDescent="0.2">
      <c r="A128" s="60"/>
      <c r="B128" s="60"/>
      <c r="C128" s="75"/>
      <c r="D128" s="60"/>
      <c r="E128" s="60"/>
      <c r="F128" s="60"/>
      <c r="G128" s="60"/>
      <c r="H128" s="60"/>
      <c r="I128" s="60"/>
      <c r="J128" s="60"/>
      <c r="K128" s="60"/>
      <c r="L128" s="60"/>
      <c r="M128" s="60"/>
      <c r="N128" s="60"/>
      <c r="O128" s="60"/>
    </row>
    <row r="129" spans="1:15" x14ac:dyDescent="0.2">
      <c r="A129" s="60"/>
      <c r="B129" s="60"/>
      <c r="C129" s="75"/>
      <c r="D129" s="60"/>
      <c r="E129" s="60"/>
      <c r="F129" s="60"/>
      <c r="G129" s="60"/>
      <c r="H129" s="60"/>
      <c r="I129" s="60"/>
      <c r="J129" s="60"/>
      <c r="K129" s="60"/>
      <c r="L129" s="60"/>
      <c r="M129" s="60"/>
      <c r="N129" s="60"/>
      <c r="O129" s="60"/>
    </row>
    <row r="130" spans="1:15" x14ac:dyDescent="0.2">
      <c r="A130" s="60"/>
      <c r="B130" s="60"/>
      <c r="C130" s="75"/>
      <c r="D130" s="60"/>
      <c r="E130" s="60"/>
      <c r="F130" s="60"/>
      <c r="G130" s="60"/>
      <c r="H130" s="60"/>
      <c r="I130" s="60"/>
      <c r="J130" s="60"/>
      <c r="K130" s="60"/>
      <c r="L130" s="60"/>
      <c r="M130" s="60"/>
      <c r="N130" s="60"/>
      <c r="O130" s="60"/>
    </row>
    <row r="131" spans="1:15" x14ac:dyDescent="0.2">
      <c r="A131" s="60"/>
      <c r="B131" s="60"/>
      <c r="C131" s="75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</row>
    <row r="132" spans="1:15" x14ac:dyDescent="0.2">
      <c r="A132" s="60"/>
      <c r="B132" s="60"/>
      <c r="C132" s="75"/>
      <c r="D132" s="60"/>
      <c r="E132" s="60"/>
      <c r="F132" s="60"/>
      <c r="G132" s="60"/>
      <c r="H132" s="60"/>
      <c r="I132" s="60"/>
      <c r="J132" s="60"/>
      <c r="K132" s="60"/>
      <c r="L132" s="60"/>
      <c r="M132" s="60"/>
      <c r="N132" s="60"/>
      <c r="O132" s="60"/>
    </row>
    <row r="133" spans="1:15" x14ac:dyDescent="0.2">
      <c r="A133" s="60"/>
      <c r="B133" s="60"/>
      <c r="C133" s="75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</row>
    <row r="134" spans="1:15" x14ac:dyDescent="0.2">
      <c r="A134" s="60"/>
      <c r="B134" s="60"/>
      <c r="C134" s="75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</row>
    <row r="135" spans="1:15" x14ac:dyDescent="0.2">
      <c r="A135" s="60"/>
      <c r="B135" s="60"/>
      <c r="C135" s="75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</row>
    <row r="136" spans="1:15" x14ac:dyDescent="0.2">
      <c r="A136" s="60"/>
      <c r="B136" s="60"/>
      <c r="C136" s="75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</row>
    <row r="137" spans="1:15" x14ac:dyDescent="0.2">
      <c r="A137" s="60"/>
      <c r="B137" s="60"/>
      <c r="C137" s="75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</row>
    <row r="138" spans="1:15" x14ac:dyDescent="0.2">
      <c r="A138" s="60"/>
      <c r="B138" s="60"/>
      <c r="C138" s="75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</row>
    <row r="139" spans="1:15" x14ac:dyDescent="0.2">
      <c r="A139" s="60"/>
      <c r="B139" s="60"/>
      <c r="C139" s="75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</row>
    <row r="140" spans="1:15" x14ac:dyDescent="0.2">
      <c r="A140" s="60"/>
      <c r="B140" s="60"/>
      <c r="C140" s="75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</row>
    <row r="141" spans="1:15" x14ac:dyDescent="0.2">
      <c r="A141" s="60"/>
      <c r="B141" s="60"/>
      <c r="C141" s="75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</row>
    <row r="142" spans="1:15" x14ac:dyDescent="0.2">
      <c r="A142" s="60"/>
      <c r="B142" s="60"/>
      <c r="C142" s="75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</row>
    <row r="143" spans="1:15" x14ac:dyDescent="0.2">
      <c r="A143" s="60"/>
      <c r="B143" s="60"/>
      <c r="C143" s="75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</row>
    <row r="144" spans="1:15" x14ac:dyDescent="0.2">
      <c r="A144" s="60"/>
      <c r="B144" s="60"/>
      <c r="C144" s="75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</row>
    <row r="145" spans="1:15" x14ac:dyDescent="0.2">
      <c r="A145" s="60"/>
      <c r="B145" s="60"/>
      <c r="C145" s="75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</row>
    <row r="146" spans="1:15" x14ac:dyDescent="0.2">
      <c r="A146" s="60"/>
      <c r="B146" s="60"/>
      <c r="C146" s="75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</row>
    <row r="147" spans="1:15" x14ac:dyDescent="0.2">
      <c r="A147" s="60"/>
      <c r="B147" s="60"/>
      <c r="C147" s="75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</row>
    <row r="148" spans="1:15" x14ac:dyDescent="0.2">
      <c r="A148" s="60"/>
      <c r="B148" s="60"/>
      <c r="C148" s="75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</row>
    <row r="149" spans="1:15" x14ac:dyDescent="0.2">
      <c r="A149" s="60"/>
      <c r="B149" s="60"/>
      <c r="C149" s="75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</row>
    <row r="150" spans="1:15" x14ac:dyDescent="0.2">
      <c r="A150" s="60"/>
      <c r="B150" s="60"/>
      <c r="C150" s="75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</row>
    <row r="151" spans="1:15" x14ac:dyDescent="0.2">
      <c r="A151" s="60"/>
      <c r="B151" s="60"/>
      <c r="C151" s="75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</row>
    <row r="152" spans="1:15" x14ac:dyDescent="0.2">
      <c r="A152" s="60"/>
      <c r="B152" s="60"/>
      <c r="C152" s="75"/>
      <c r="D152" s="60"/>
      <c r="E152" s="60"/>
      <c r="F152" s="60"/>
      <c r="G152" s="60"/>
      <c r="H152" s="60"/>
      <c r="I152" s="60"/>
      <c r="J152" s="60"/>
      <c r="K152" s="60"/>
      <c r="L152" s="60"/>
      <c r="M152" s="60"/>
      <c r="N152" s="60"/>
      <c r="O152" s="60"/>
    </row>
    <row r="153" spans="1:15" x14ac:dyDescent="0.2">
      <c r="A153" s="60"/>
      <c r="B153" s="60"/>
      <c r="C153" s="75"/>
      <c r="D153" s="60"/>
      <c r="E153" s="60"/>
      <c r="F153" s="60"/>
      <c r="G153" s="60"/>
      <c r="H153" s="60"/>
      <c r="I153" s="60"/>
      <c r="J153" s="60"/>
      <c r="K153" s="60"/>
      <c r="L153" s="60"/>
      <c r="M153" s="60"/>
      <c r="N153" s="60"/>
      <c r="O153" s="60"/>
    </row>
    <row r="154" spans="1:15" x14ac:dyDescent="0.2">
      <c r="A154" s="60"/>
      <c r="B154" s="60"/>
      <c r="C154" s="75"/>
      <c r="D154" s="60"/>
      <c r="E154" s="60"/>
      <c r="F154" s="60"/>
      <c r="G154" s="60"/>
      <c r="H154" s="60"/>
      <c r="I154" s="60"/>
      <c r="J154" s="60"/>
      <c r="K154" s="60"/>
      <c r="L154" s="60"/>
      <c r="M154" s="60"/>
      <c r="N154" s="60"/>
      <c r="O154" s="60"/>
    </row>
    <row r="155" spans="1:15" x14ac:dyDescent="0.2">
      <c r="A155" s="60"/>
      <c r="B155" s="60"/>
      <c r="C155" s="75"/>
      <c r="D155" s="60"/>
      <c r="E155" s="60"/>
      <c r="F155" s="60"/>
      <c r="G155" s="60"/>
      <c r="H155" s="60"/>
      <c r="I155" s="60"/>
      <c r="J155" s="60"/>
      <c r="K155" s="60"/>
      <c r="L155" s="60"/>
      <c r="M155" s="60"/>
      <c r="N155" s="60"/>
      <c r="O155" s="60"/>
    </row>
    <row r="156" spans="1:15" x14ac:dyDescent="0.2">
      <c r="A156" s="60"/>
      <c r="B156" s="60"/>
      <c r="C156" s="75"/>
      <c r="D156" s="60"/>
      <c r="E156" s="60"/>
      <c r="F156" s="60"/>
      <c r="G156" s="60"/>
      <c r="H156" s="60"/>
      <c r="I156" s="60"/>
      <c r="J156" s="60"/>
      <c r="K156" s="60"/>
      <c r="L156" s="60"/>
      <c r="M156" s="60"/>
      <c r="N156" s="60"/>
      <c r="O156" s="60"/>
    </row>
    <row r="157" spans="1:15" x14ac:dyDescent="0.2">
      <c r="A157" s="60"/>
      <c r="B157" s="60"/>
      <c r="C157" s="75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</row>
    <row r="158" spans="1:15" x14ac:dyDescent="0.2">
      <c r="A158" s="60"/>
      <c r="B158" s="60"/>
      <c r="C158" s="75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</row>
    <row r="159" spans="1:15" x14ac:dyDescent="0.2">
      <c r="A159" s="60"/>
      <c r="B159" s="60"/>
      <c r="C159" s="75"/>
      <c r="D159" s="60"/>
      <c r="E159" s="60"/>
      <c r="F159" s="60"/>
      <c r="G159" s="60"/>
      <c r="H159" s="60"/>
      <c r="I159" s="60"/>
      <c r="J159" s="60"/>
      <c r="K159" s="60"/>
      <c r="L159" s="60"/>
      <c r="M159" s="60"/>
      <c r="N159" s="60"/>
      <c r="O159" s="60"/>
    </row>
    <row r="160" spans="1:15" x14ac:dyDescent="0.2">
      <c r="A160" s="60"/>
      <c r="B160" s="60"/>
      <c r="C160" s="75"/>
      <c r="D160" s="60"/>
      <c r="E160" s="60"/>
      <c r="F160" s="60"/>
      <c r="G160" s="60"/>
      <c r="H160" s="60"/>
      <c r="I160" s="60"/>
      <c r="J160" s="60"/>
      <c r="K160" s="60"/>
      <c r="L160" s="60"/>
      <c r="M160" s="60"/>
      <c r="N160" s="60"/>
      <c r="O160" s="60"/>
    </row>
    <row r="161" spans="1:15" x14ac:dyDescent="0.2">
      <c r="A161" s="60"/>
      <c r="B161" s="60"/>
      <c r="C161" s="75"/>
      <c r="D161" s="60"/>
      <c r="E161" s="60"/>
      <c r="F161" s="60"/>
      <c r="G161" s="60"/>
      <c r="H161" s="60"/>
      <c r="I161" s="60"/>
      <c r="J161" s="60"/>
      <c r="K161" s="60"/>
      <c r="L161" s="60"/>
      <c r="M161" s="60"/>
      <c r="N161" s="60"/>
      <c r="O161" s="60"/>
    </row>
    <row r="162" spans="1:15" x14ac:dyDescent="0.2">
      <c r="A162" s="60"/>
      <c r="B162" s="60"/>
      <c r="C162" s="75"/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</row>
    <row r="163" spans="1:15" x14ac:dyDescent="0.2">
      <c r="A163" s="60"/>
      <c r="B163" s="60"/>
      <c r="C163" s="75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</row>
    <row r="164" spans="1:15" x14ac:dyDescent="0.2">
      <c r="A164" s="60"/>
      <c r="B164" s="60"/>
      <c r="C164" s="75"/>
      <c r="D164" s="60"/>
      <c r="E164" s="60"/>
      <c r="F164" s="60"/>
      <c r="G164" s="60"/>
      <c r="H164" s="60"/>
      <c r="I164" s="60"/>
      <c r="J164" s="60"/>
      <c r="K164" s="60"/>
      <c r="L164" s="60"/>
      <c r="M164" s="60"/>
      <c r="N164" s="60"/>
      <c r="O164" s="60"/>
    </row>
    <row r="165" spans="1:15" x14ac:dyDescent="0.2">
      <c r="A165" s="60"/>
      <c r="B165" s="60"/>
      <c r="C165" s="75"/>
      <c r="D165" s="60"/>
      <c r="E165" s="60"/>
      <c r="F165" s="60"/>
      <c r="G165" s="60"/>
      <c r="H165" s="60"/>
      <c r="I165" s="60"/>
      <c r="J165" s="60"/>
      <c r="K165" s="60"/>
      <c r="L165" s="60"/>
      <c r="M165" s="60"/>
      <c r="N165" s="60"/>
      <c r="O165" s="60"/>
    </row>
    <row r="166" spans="1:15" x14ac:dyDescent="0.2">
      <c r="A166" s="60"/>
      <c r="B166" s="60"/>
      <c r="C166" s="75"/>
      <c r="D166" s="60"/>
      <c r="E166" s="60"/>
      <c r="F166" s="60"/>
      <c r="G166" s="60"/>
      <c r="H166" s="60"/>
      <c r="I166" s="60"/>
      <c r="J166" s="60"/>
      <c r="K166" s="60"/>
      <c r="L166" s="60"/>
      <c r="M166" s="60"/>
      <c r="N166" s="60"/>
      <c r="O166" s="60"/>
    </row>
    <row r="167" spans="1:15" x14ac:dyDescent="0.2">
      <c r="A167" s="60"/>
      <c r="B167" s="60"/>
      <c r="C167" s="75"/>
      <c r="D167" s="60"/>
      <c r="E167" s="60"/>
      <c r="F167" s="60"/>
      <c r="G167" s="60"/>
      <c r="H167" s="60"/>
      <c r="I167" s="60"/>
      <c r="J167" s="60"/>
      <c r="K167" s="60"/>
      <c r="L167" s="60"/>
      <c r="M167" s="60"/>
      <c r="N167" s="60"/>
      <c r="O167" s="60"/>
    </row>
    <row r="168" spans="1:15" x14ac:dyDescent="0.2">
      <c r="A168" s="60"/>
      <c r="B168" s="60"/>
      <c r="C168" s="75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</row>
    <row r="169" spans="1:15" x14ac:dyDescent="0.2">
      <c r="A169" s="60"/>
      <c r="B169" s="60"/>
      <c r="C169" s="75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</row>
    <row r="170" spans="1:15" x14ac:dyDescent="0.2">
      <c r="A170" s="60"/>
      <c r="B170" s="60"/>
      <c r="C170" s="75"/>
      <c r="D170" s="60"/>
      <c r="E170" s="60"/>
      <c r="F170" s="60"/>
      <c r="G170" s="60"/>
      <c r="H170" s="60"/>
      <c r="I170" s="60"/>
      <c r="J170" s="60"/>
      <c r="K170" s="60"/>
      <c r="L170" s="60"/>
      <c r="M170" s="60"/>
      <c r="N170" s="60"/>
      <c r="O170" s="60"/>
    </row>
    <row r="171" spans="1:15" x14ac:dyDescent="0.2">
      <c r="A171" s="60"/>
      <c r="B171" s="60"/>
      <c r="C171" s="75"/>
      <c r="D171" s="60"/>
      <c r="E171" s="60"/>
      <c r="F171" s="60"/>
      <c r="G171" s="60"/>
      <c r="H171" s="60"/>
      <c r="I171" s="60"/>
      <c r="J171" s="60"/>
      <c r="K171" s="60"/>
      <c r="L171" s="60"/>
      <c r="M171" s="60"/>
      <c r="N171" s="60"/>
      <c r="O171" s="60"/>
    </row>
    <row r="172" spans="1:15" x14ac:dyDescent="0.2">
      <c r="A172" s="60"/>
      <c r="B172" s="60"/>
      <c r="C172" s="75"/>
      <c r="D172" s="60"/>
      <c r="E172" s="60"/>
      <c r="F172" s="60"/>
      <c r="G172" s="60"/>
      <c r="H172" s="60"/>
      <c r="I172" s="60"/>
      <c r="J172" s="60"/>
      <c r="K172" s="60"/>
      <c r="L172" s="60"/>
      <c r="M172" s="60"/>
      <c r="N172" s="60"/>
      <c r="O172" s="60"/>
    </row>
    <row r="173" spans="1:15" x14ac:dyDescent="0.2">
      <c r="A173" s="60"/>
      <c r="B173" s="60"/>
      <c r="C173" s="75"/>
      <c r="D173" s="60"/>
      <c r="E173" s="60"/>
      <c r="F173" s="60"/>
      <c r="G173" s="60"/>
      <c r="H173" s="60"/>
      <c r="I173" s="60"/>
      <c r="J173" s="60"/>
      <c r="K173" s="60"/>
      <c r="L173" s="60"/>
      <c r="M173" s="60"/>
      <c r="N173" s="60"/>
      <c r="O173" s="60"/>
    </row>
    <row r="174" spans="1:15" x14ac:dyDescent="0.2">
      <c r="A174" s="60"/>
      <c r="B174" s="60"/>
      <c r="C174" s="75"/>
      <c r="D174" s="60"/>
      <c r="E174" s="60"/>
      <c r="F174" s="60"/>
      <c r="G174" s="60"/>
      <c r="H174" s="60"/>
      <c r="I174" s="60"/>
      <c r="J174" s="60"/>
      <c r="K174" s="60"/>
      <c r="L174" s="60"/>
      <c r="M174" s="60"/>
      <c r="N174" s="60"/>
      <c r="O174" s="60"/>
    </row>
    <row r="175" spans="1:15" x14ac:dyDescent="0.2">
      <c r="A175" s="60"/>
      <c r="B175" s="60"/>
      <c r="C175" s="75"/>
      <c r="D175" s="60"/>
      <c r="E175" s="60"/>
      <c r="F175" s="60"/>
      <c r="G175" s="60"/>
      <c r="H175" s="60"/>
      <c r="I175" s="60"/>
      <c r="J175" s="60"/>
      <c r="K175" s="60"/>
      <c r="L175" s="60"/>
      <c r="M175" s="60"/>
      <c r="N175" s="60"/>
      <c r="O175" s="60"/>
    </row>
    <row r="176" spans="1:15" x14ac:dyDescent="0.2">
      <c r="A176" s="60"/>
      <c r="B176" s="60"/>
      <c r="C176" s="75"/>
      <c r="D176" s="60"/>
      <c r="E176" s="60"/>
      <c r="F176" s="60"/>
      <c r="G176" s="60"/>
      <c r="H176" s="60"/>
      <c r="I176" s="60"/>
      <c r="J176" s="60"/>
      <c r="K176" s="60"/>
      <c r="L176" s="60"/>
      <c r="M176" s="60"/>
      <c r="N176" s="60"/>
      <c r="O176" s="60"/>
    </row>
    <row r="177" spans="1:15" x14ac:dyDescent="0.2">
      <c r="A177" s="60"/>
      <c r="B177" s="60"/>
      <c r="C177" s="75"/>
      <c r="D177" s="60"/>
      <c r="E177" s="60"/>
      <c r="F177" s="60"/>
      <c r="G177" s="60"/>
      <c r="H177" s="60"/>
      <c r="I177" s="60"/>
      <c r="J177" s="60"/>
      <c r="K177" s="60"/>
      <c r="L177" s="60"/>
      <c r="M177" s="60"/>
      <c r="N177" s="60"/>
      <c r="O177" s="60"/>
    </row>
    <row r="178" spans="1:15" x14ac:dyDescent="0.2">
      <c r="A178" s="60"/>
      <c r="B178" s="60"/>
      <c r="C178" s="75"/>
      <c r="D178" s="60"/>
      <c r="E178" s="60"/>
      <c r="F178" s="60"/>
      <c r="G178" s="60"/>
      <c r="H178" s="60"/>
      <c r="I178" s="60"/>
      <c r="J178" s="60"/>
      <c r="K178" s="60"/>
      <c r="L178" s="60"/>
      <c r="M178" s="60"/>
      <c r="N178" s="60"/>
      <c r="O178" s="60"/>
    </row>
    <row r="179" spans="1:15" x14ac:dyDescent="0.2">
      <c r="A179" s="60"/>
      <c r="B179" s="60"/>
      <c r="C179" s="75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</row>
    <row r="180" spans="1:15" x14ac:dyDescent="0.2">
      <c r="A180" s="60"/>
      <c r="B180" s="60"/>
      <c r="C180" s="75"/>
      <c r="D180" s="60"/>
      <c r="E180" s="60"/>
      <c r="F180" s="60"/>
      <c r="G180" s="60"/>
      <c r="H180" s="60"/>
      <c r="I180" s="60"/>
      <c r="J180" s="60"/>
      <c r="K180" s="60"/>
      <c r="L180" s="60"/>
      <c r="M180" s="60"/>
      <c r="N180" s="60"/>
      <c r="O180" s="60"/>
    </row>
    <row r="181" spans="1:15" x14ac:dyDescent="0.2">
      <c r="A181" s="60"/>
      <c r="B181" s="60"/>
      <c r="C181" s="75"/>
      <c r="D181" s="60"/>
      <c r="E181" s="60"/>
      <c r="F181" s="60"/>
      <c r="G181" s="60"/>
      <c r="H181" s="60"/>
      <c r="I181" s="60"/>
      <c r="J181" s="60"/>
      <c r="K181" s="60"/>
      <c r="L181" s="60"/>
      <c r="M181" s="60"/>
      <c r="N181" s="60"/>
      <c r="O181" s="60"/>
    </row>
    <row r="182" spans="1:15" x14ac:dyDescent="0.2">
      <c r="A182" s="60"/>
      <c r="B182" s="60"/>
      <c r="C182" s="75"/>
      <c r="D182" s="60"/>
      <c r="E182" s="60"/>
      <c r="F182" s="60"/>
      <c r="G182" s="60"/>
      <c r="H182" s="60"/>
      <c r="I182" s="60"/>
      <c r="J182" s="60"/>
      <c r="K182" s="60"/>
      <c r="L182" s="60"/>
      <c r="M182" s="60"/>
      <c r="N182" s="60"/>
      <c r="O182" s="60"/>
    </row>
    <row r="183" spans="1:15" x14ac:dyDescent="0.2">
      <c r="A183" s="60"/>
      <c r="B183" s="60"/>
      <c r="C183" s="75"/>
      <c r="D183" s="60"/>
      <c r="E183" s="60"/>
      <c r="F183" s="60"/>
      <c r="G183" s="60"/>
      <c r="H183" s="60"/>
      <c r="I183" s="60"/>
      <c r="J183" s="60"/>
      <c r="K183" s="60"/>
      <c r="L183" s="60"/>
      <c r="M183" s="60"/>
      <c r="N183" s="60"/>
      <c r="O183" s="60"/>
    </row>
    <row r="184" spans="1:15" x14ac:dyDescent="0.2">
      <c r="A184" s="60"/>
      <c r="B184" s="60"/>
      <c r="C184" s="75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0"/>
      <c r="O184" s="60"/>
    </row>
    <row r="185" spans="1:15" x14ac:dyDescent="0.2">
      <c r="A185" s="60"/>
      <c r="B185" s="60"/>
      <c r="C185" s="75"/>
      <c r="D185" s="60"/>
      <c r="E185" s="60"/>
      <c r="F185" s="60"/>
      <c r="G185" s="60"/>
      <c r="H185" s="60"/>
      <c r="I185" s="60"/>
      <c r="J185" s="60"/>
      <c r="K185" s="60"/>
      <c r="L185" s="60"/>
      <c r="M185" s="60"/>
      <c r="N185" s="60"/>
      <c r="O185" s="60"/>
    </row>
    <row r="186" spans="1:15" x14ac:dyDescent="0.2">
      <c r="A186" s="60"/>
      <c r="B186" s="60"/>
      <c r="C186" s="75"/>
      <c r="D186" s="60"/>
      <c r="E186" s="60"/>
      <c r="F186" s="60"/>
      <c r="G186" s="60"/>
      <c r="H186" s="60"/>
      <c r="I186" s="60"/>
      <c r="J186" s="60"/>
      <c r="K186" s="60"/>
      <c r="L186" s="60"/>
      <c r="M186" s="60"/>
      <c r="N186" s="60"/>
      <c r="O186" s="60"/>
    </row>
    <row r="187" spans="1:15" x14ac:dyDescent="0.2">
      <c r="A187" s="60"/>
      <c r="B187" s="60"/>
      <c r="C187" s="75"/>
      <c r="D187" s="60"/>
      <c r="E187" s="60"/>
      <c r="F187" s="60"/>
      <c r="G187" s="60"/>
      <c r="H187" s="60"/>
      <c r="I187" s="60"/>
      <c r="J187" s="60"/>
      <c r="K187" s="60"/>
      <c r="L187" s="60"/>
      <c r="M187" s="60"/>
      <c r="N187" s="60"/>
      <c r="O187" s="60"/>
    </row>
    <row r="188" spans="1:15" x14ac:dyDescent="0.2">
      <c r="A188" s="60"/>
      <c r="B188" s="60"/>
      <c r="C188" s="75"/>
      <c r="D188" s="60"/>
      <c r="E188" s="60"/>
      <c r="F188" s="60"/>
      <c r="G188" s="60"/>
      <c r="H188" s="60"/>
      <c r="I188" s="60"/>
      <c r="J188" s="60"/>
      <c r="K188" s="60"/>
      <c r="L188" s="60"/>
      <c r="M188" s="60"/>
      <c r="N188" s="60"/>
      <c r="O188" s="60"/>
    </row>
    <row r="189" spans="1:15" x14ac:dyDescent="0.2">
      <c r="A189" s="60"/>
      <c r="B189" s="60"/>
      <c r="C189" s="75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0"/>
      <c r="O189" s="60"/>
    </row>
    <row r="190" spans="1:15" x14ac:dyDescent="0.2">
      <c r="A190" s="60"/>
      <c r="B190" s="60"/>
      <c r="C190" s="75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</row>
    <row r="191" spans="1:15" x14ac:dyDescent="0.2">
      <c r="A191" s="60"/>
      <c r="B191" s="60"/>
      <c r="C191" s="75"/>
      <c r="D191" s="60"/>
      <c r="E191" s="60"/>
      <c r="F191" s="60"/>
      <c r="G191" s="60"/>
      <c r="H191" s="60"/>
      <c r="I191" s="60"/>
      <c r="J191" s="60"/>
      <c r="K191" s="60"/>
      <c r="L191" s="60"/>
      <c r="M191" s="60"/>
      <c r="N191" s="60"/>
      <c r="O191" s="60"/>
    </row>
    <row r="192" spans="1:15" x14ac:dyDescent="0.2">
      <c r="A192" s="60"/>
      <c r="B192" s="60"/>
      <c r="C192" s="75"/>
      <c r="D192" s="60"/>
      <c r="E192" s="60"/>
      <c r="F192" s="60"/>
      <c r="G192" s="60"/>
      <c r="H192" s="60"/>
      <c r="I192" s="60"/>
      <c r="J192" s="60"/>
      <c r="K192" s="60"/>
      <c r="L192" s="60"/>
      <c r="M192" s="60"/>
      <c r="N192" s="60"/>
      <c r="O192" s="60"/>
    </row>
    <row r="193" spans="1:15" x14ac:dyDescent="0.2">
      <c r="A193" s="60"/>
      <c r="B193" s="60"/>
      <c r="C193" s="75"/>
      <c r="D193" s="60"/>
      <c r="E193" s="60"/>
      <c r="F193" s="60"/>
      <c r="G193" s="60"/>
      <c r="H193" s="60"/>
      <c r="I193" s="60"/>
      <c r="J193" s="60"/>
      <c r="K193" s="60"/>
      <c r="L193" s="60"/>
      <c r="M193" s="60"/>
      <c r="N193" s="60"/>
      <c r="O193" s="60"/>
    </row>
    <row r="194" spans="1:15" x14ac:dyDescent="0.2">
      <c r="A194" s="60"/>
      <c r="B194" s="60"/>
      <c r="C194" s="75"/>
      <c r="D194" s="60"/>
      <c r="E194" s="60"/>
      <c r="F194" s="60"/>
      <c r="G194" s="60"/>
      <c r="H194" s="60"/>
      <c r="I194" s="60"/>
      <c r="J194" s="60"/>
      <c r="K194" s="60"/>
      <c r="L194" s="60"/>
      <c r="M194" s="60"/>
      <c r="N194" s="60"/>
      <c r="O194" s="60"/>
    </row>
    <row r="195" spans="1:15" x14ac:dyDescent="0.2">
      <c r="A195" s="60"/>
      <c r="B195" s="60"/>
      <c r="C195" s="75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</row>
    <row r="196" spans="1:15" x14ac:dyDescent="0.2">
      <c r="A196" s="60"/>
      <c r="B196" s="60"/>
      <c r="C196" s="75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0"/>
      <c r="O196" s="60"/>
    </row>
    <row r="197" spans="1:15" x14ac:dyDescent="0.2">
      <c r="A197" s="60"/>
      <c r="B197" s="60"/>
      <c r="C197" s="75"/>
      <c r="D197" s="60"/>
      <c r="E197" s="60"/>
      <c r="F197" s="60"/>
      <c r="G197" s="60"/>
      <c r="H197" s="60"/>
      <c r="I197" s="60"/>
      <c r="J197" s="60"/>
      <c r="K197" s="60"/>
      <c r="L197" s="60"/>
      <c r="M197" s="60"/>
      <c r="N197" s="60"/>
      <c r="O197" s="60"/>
    </row>
    <row r="198" spans="1:15" x14ac:dyDescent="0.2">
      <c r="A198" s="60"/>
      <c r="B198" s="60"/>
      <c r="C198" s="75"/>
      <c r="D198" s="60"/>
      <c r="E198" s="60"/>
      <c r="F198" s="60"/>
      <c r="G198" s="60"/>
      <c r="H198" s="60"/>
      <c r="I198" s="60"/>
      <c r="J198" s="60"/>
      <c r="K198" s="60"/>
      <c r="L198" s="60"/>
      <c r="M198" s="60"/>
      <c r="N198" s="60"/>
      <c r="O198" s="60"/>
    </row>
    <row r="199" spans="1:15" x14ac:dyDescent="0.2">
      <c r="A199" s="60"/>
      <c r="B199" s="60"/>
      <c r="C199" s="75"/>
      <c r="D199" s="60"/>
      <c r="E199" s="60"/>
      <c r="F199" s="60"/>
      <c r="G199" s="60"/>
      <c r="H199" s="60"/>
      <c r="I199" s="60"/>
      <c r="J199" s="60"/>
      <c r="K199" s="60"/>
      <c r="L199" s="60"/>
      <c r="M199" s="60"/>
      <c r="N199" s="60"/>
      <c r="O199" s="60"/>
    </row>
    <row r="200" spans="1:15" x14ac:dyDescent="0.2">
      <c r="A200" s="60"/>
      <c r="B200" s="60"/>
      <c r="C200" s="75"/>
      <c r="D200" s="60"/>
      <c r="E200" s="60"/>
      <c r="F200" s="60"/>
      <c r="G200" s="60"/>
      <c r="H200" s="60"/>
      <c r="I200" s="60"/>
      <c r="J200" s="60"/>
      <c r="K200" s="60"/>
      <c r="L200" s="60"/>
      <c r="M200" s="60"/>
      <c r="N200" s="60"/>
      <c r="O200" s="60"/>
    </row>
    <row r="201" spans="1:15" x14ac:dyDescent="0.2">
      <c r="A201" s="60"/>
      <c r="B201" s="60"/>
      <c r="C201" s="75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</row>
    <row r="202" spans="1:15" x14ac:dyDescent="0.2">
      <c r="A202" s="60"/>
      <c r="B202" s="60"/>
      <c r="C202" s="75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</row>
    <row r="203" spans="1:15" x14ac:dyDescent="0.2">
      <c r="A203" s="60"/>
      <c r="B203" s="60"/>
      <c r="C203" s="75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0"/>
      <c r="O203" s="60"/>
    </row>
    <row r="204" spans="1:15" x14ac:dyDescent="0.2">
      <c r="A204" s="60"/>
      <c r="B204" s="60"/>
      <c r="C204" s="75"/>
      <c r="D204" s="60"/>
      <c r="E204" s="60"/>
      <c r="F204" s="60"/>
      <c r="G204" s="60"/>
      <c r="H204" s="60"/>
      <c r="I204" s="60"/>
      <c r="J204" s="60"/>
      <c r="K204" s="60"/>
      <c r="L204" s="60"/>
      <c r="M204" s="60"/>
      <c r="N204" s="60"/>
      <c r="O204" s="60"/>
    </row>
    <row r="205" spans="1:15" x14ac:dyDescent="0.2">
      <c r="A205" s="60"/>
      <c r="B205" s="60"/>
      <c r="C205" s="75"/>
      <c r="D205" s="60"/>
      <c r="E205" s="60"/>
      <c r="F205" s="60"/>
      <c r="G205" s="60"/>
      <c r="H205" s="60"/>
      <c r="I205" s="60"/>
      <c r="J205" s="60"/>
      <c r="K205" s="60"/>
      <c r="L205" s="60"/>
      <c r="M205" s="60"/>
      <c r="N205" s="60"/>
      <c r="O205" s="60"/>
    </row>
    <row r="206" spans="1:15" x14ac:dyDescent="0.2">
      <c r="A206" s="60"/>
      <c r="B206" s="60"/>
      <c r="C206" s="75"/>
      <c r="D206" s="60"/>
      <c r="E206" s="60"/>
      <c r="F206" s="60"/>
      <c r="G206" s="60"/>
      <c r="H206" s="60"/>
      <c r="I206" s="60"/>
      <c r="J206" s="60"/>
      <c r="K206" s="60"/>
      <c r="L206" s="60"/>
      <c r="M206" s="60"/>
      <c r="N206" s="60"/>
      <c r="O206" s="60"/>
    </row>
    <row r="207" spans="1:15" x14ac:dyDescent="0.2">
      <c r="A207" s="60"/>
      <c r="B207" s="60"/>
      <c r="C207" s="75"/>
      <c r="D207" s="60"/>
      <c r="E207" s="60"/>
      <c r="F207" s="60"/>
      <c r="G207" s="60"/>
      <c r="H207" s="60"/>
      <c r="I207" s="60"/>
      <c r="J207" s="60"/>
      <c r="K207" s="60"/>
      <c r="L207" s="60"/>
      <c r="M207" s="60"/>
      <c r="N207" s="60"/>
      <c r="O207" s="60"/>
    </row>
    <row r="208" spans="1:15" x14ac:dyDescent="0.2">
      <c r="A208" s="60"/>
      <c r="B208" s="60"/>
      <c r="C208" s="75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0"/>
      <c r="O208" s="60"/>
    </row>
    <row r="209" spans="1:15" x14ac:dyDescent="0.2">
      <c r="A209" s="60"/>
      <c r="B209" s="60"/>
      <c r="C209" s="75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</row>
    <row r="210" spans="1:15" x14ac:dyDescent="0.2">
      <c r="A210" s="60"/>
      <c r="B210" s="60"/>
      <c r="C210" s="75"/>
      <c r="D210" s="60"/>
      <c r="E210" s="60"/>
      <c r="F210" s="60"/>
      <c r="G210" s="60"/>
      <c r="H210" s="60"/>
      <c r="I210" s="60"/>
      <c r="J210" s="60"/>
      <c r="K210" s="60"/>
      <c r="L210" s="60"/>
      <c r="M210" s="60"/>
      <c r="N210" s="60"/>
      <c r="O210" s="60"/>
    </row>
    <row r="211" spans="1:15" x14ac:dyDescent="0.2">
      <c r="A211" s="60"/>
      <c r="B211" s="60"/>
      <c r="C211" s="75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</row>
    <row r="212" spans="1:15" x14ac:dyDescent="0.2">
      <c r="A212" s="60"/>
      <c r="B212" s="60"/>
      <c r="C212" s="75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</row>
    <row r="213" spans="1:15" x14ac:dyDescent="0.2">
      <c r="A213" s="60"/>
      <c r="B213" s="60"/>
      <c r="C213" s="75"/>
      <c r="D213" s="60"/>
      <c r="E213" s="60"/>
      <c r="F213" s="60"/>
      <c r="G213" s="60"/>
      <c r="H213" s="60"/>
      <c r="I213" s="60"/>
      <c r="J213" s="60"/>
      <c r="K213" s="60"/>
      <c r="L213" s="60"/>
      <c r="M213" s="60"/>
      <c r="N213" s="60"/>
      <c r="O213" s="60"/>
    </row>
    <row r="214" spans="1:15" x14ac:dyDescent="0.2">
      <c r="A214" s="60"/>
      <c r="B214" s="60"/>
      <c r="C214" s="75"/>
      <c r="D214" s="60"/>
      <c r="E214" s="60"/>
      <c r="F214" s="60"/>
      <c r="G214" s="60"/>
      <c r="H214" s="60"/>
      <c r="I214" s="60"/>
      <c r="J214" s="60"/>
      <c r="K214" s="60"/>
      <c r="L214" s="60"/>
      <c r="M214" s="60"/>
      <c r="N214" s="60"/>
      <c r="O214" s="60"/>
    </row>
    <row r="215" spans="1:15" x14ac:dyDescent="0.2">
      <c r="A215" s="60"/>
      <c r="B215" s="60"/>
      <c r="C215" s="75"/>
      <c r="D215" s="60"/>
      <c r="E215" s="60"/>
      <c r="F215" s="60"/>
      <c r="G215" s="60"/>
      <c r="H215" s="60"/>
      <c r="I215" s="60"/>
      <c r="J215" s="60"/>
      <c r="K215" s="60"/>
      <c r="L215" s="60"/>
      <c r="M215" s="60"/>
      <c r="N215" s="60"/>
      <c r="O215" s="60"/>
    </row>
    <row r="216" spans="1:15" x14ac:dyDescent="0.2">
      <c r="A216" s="60"/>
      <c r="B216" s="60"/>
      <c r="C216" s="75"/>
      <c r="D216" s="60"/>
      <c r="E216" s="60"/>
      <c r="F216" s="60"/>
      <c r="G216" s="60"/>
      <c r="H216" s="60"/>
      <c r="I216" s="60"/>
      <c r="J216" s="60"/>
      <c r="K216" s="60"/>
      <c r="L216" s="60"/>
      <c r="M216" s="60"/>
      <c r="N216" s="60"/>
      <c r="O216" s="60"/>
    </row>
    <row r="217" spans="1:15" x14ac:dyDescent="0.2">
      <c r="A217" s="60"/>
      <c r="B217" s="60"/>
      <c r="C217" s="75"/>
      <c r="D217" s="60"/>
      <c r="E217" s="60"/>
      <c r="F217" s="60"/>
      <c r="G217" s="60"/>
      <c r="H217" s="60"/>
      <c r="I217" s="60"/>
      <c r="J217" s="60"/>
      <c r="K217" s="60"/>
      <c r="L217" s="60"/>
      <c r="M217" s="60"/>
      <c r="N217" s="60"/>
      <c r="O217" s="60"/>
    </row>
    <row r="218" spans="1:15" x14ac:dyDescent="0.2">
      <c r="A218" s="60"/>
      <c r="B218" s="60"/>
      <c r="C218" s="75"/>
      <c r="D218" s="60"/>
      <c r="E218" s="60"/>
      <c r="F218" s="60"/>
      <c r="G218" s="60"/>
      <c r="H218" s="60"/>
      <c r="I218" s="60"/>
      <c r="J218" s="60"/>
      <c r="K218" s="60"/>
      <c r="L218" s="60"/>
      <c r="M218" s="60"/>
      <c r="N218" s="60"/>
      <c r="O218" s="60"/>
    </row>
    <row r="219" spans="1:15" x14ac:dyDescent="0.2">
      <c r="A219" s="60"/>
      <c r="B219" s="60"/>
      <c r="C219" s="75"/>
      <c r="D219" s="60"/>
      <c r="E219" s="60"/>
      <c r="F219" s="60"/>
      <c r="G219" s="60"/>
      <c r="H219" s="60"/>
      <c r="I219" s="60"/>
      <c r="J219" s="60"/>
      <c r="K219" s="60"/>
      <c r="L219" s="60"/>
      <c r="M219" s="60"/>
      <c r="N219" s="60"/>
      <c r="O219" s="60"/>
    </row>
    <row r="220" spans="1:15" x14ac:dyDescent="0.2">
      <c r="A220" s="60"/>
      <c r="B220" s="60"/>
      <c r="C220" s="75"/>
      <c r="D220" s="60"/>
      <c r="E220" s="60"/>
      <c r="F220" s="60"/>
      <c r="G220" s="60"/>
      <c r="H220" s="60"/>
      <c r="I220" s="60"/>
      <c r="J220" s="60"/>
      <c r="K220" s="60"/>
      <c r="L220" s="60"/>
      <c r="M220" s="60"/>
      <c r="N220" s="60"/>
      <c r="O220" s="60"/>
    </row>
    <row r="221" spans="1:15" x14ac:dyDescent="0.2">
      <c r="A221" s="60"/>
      <c r="B221" s="60"/>
      <c r="C221" s="75"/>
      <c r="D221" s="60"/>
      <c r="E221" s="60"/>
      <c r="F221" s="60"/>
      <c r="G221" s="60"/>
      <c r="H221" s="60"/>
      <c r="I221" s="60"/>
      <c r="J221" s="60"/>
      <c r="K221" s="60"/>
      <c r="L221" s="60"/>
      <c r="M221" s="60"/>
      <c r="N221" s="60"/>
      <c r="O221" s="60"/>
    </row>
    <row r="222" spans="1:15" x14ac:dyDescent="0.2">
      <c r="A222" s="60"/>
      <c r="B222" s="60"/>
      <c r="C222" s="75"/>
      <c r="D222" s="60"/>
      <c r="E222" s="60"/>
      <c r="F222" s="60"/>
      <c r="G222" s="60"/>
      <c r="H222" s="60"/>
      <c r="I222" s="60"/>
      <c r="J222" s="60"/>
      <c r="K222" s="60"/>
      <c r="L222" s="60"/>
      <c r="M222" s="60"/>
      <c r="N222" s="60"/>
      <c r="O222" s="60"/>
    </row>
    <row r="223" spans="1:15" x14ac:dyDescent="0.2">
      <c r="A223" s="60"/>
      <c r="B223" s="60"/>
      <c r="C223" s="75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</row>
    <row r="224" spans="1:15" x14ac:dyDescent="0.2">
      <c r="A224" s="60"/>
      <c r="B224" s="60"/>
      <c r="C224" s="75"/>
      <c r="D224" s="60"/>
      <c r="E224" s="60"/>
      <c r="F224" s="60"/>
      <c r="G224" s="60"/>
      <c r="H224" s="60"/>
      <c r="I224" s="60"/>
      <c r="J224" s="60"/>
      <c r="K224" s="60"/>
      <c r="L224" s="60"/>
      <c r="M224" s="60"/>
      <c r="N224" s="60"/>
      <c r="O224" s="60"/>
    </row>
    <row r="225" spans="1:15" x14ac:dyDescent="0.2">
      <c r="A225" s="60"/>
      <c r="B225" s="60"/>
      <c r="C225" s="75"/>
      <c r="D225" s="60"/>
      <c r="E225" s="60"/>
      <c r="F225" s="60"/>
      <c r="G225" s="60"/>
      <c r="H225" s="60"/>
      <c r="I225" s="60"/>
      <c r="J225" s="60"/>
      <c r="K225" s="60"/>
      <c r="L225" s="60"/>
      <c r="M225" s="60"/>
      <c r="N225" s="60"/>
      <c r="O225" s="60"/>
    </row>
    <row r="226" spans="1:15" x14ac:dyDescent="0.2">
      <c r="A226" s="60"/>
      <c r="B226" s="60"/>
      <c r="C226" s="75"/>
      <c r="D226" s="60"/>
      <c r="E226" s="60"/>
      <c r="F226" s="60"/>
      <c r="G226" s="60"/>
      <c r="H226" s="60"/>
      <c r="I226" s="60"/>
      <c r="J226" s="60"/>
      <c r="K226" s="60"/>
      <c r="L226" s="60"/>
      <c r="M226" s="60"/>
      <c r="N226" s="60"/>
      <c r="O226" s="60"/>
    </row>
    <row r="227" spans="1:15" x14ac:dyDescent="0.2">
      <c r="A227" s="60"/>
      <c r="B227" s="60"/>
      <c r="C227" s="75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</row>
    <row r="228" spans="1:15" x14ac:dyDescent="0.2">
      <c r="A228" s="60"/>
      <c r="B228" s="60"/>
      <c r="C228" s="75"/>
      <c r="D228" s="60"/>
      <c r="E228" s="60"/>
      <c r="F228" s="60"/>
      <c r="G228" s="60"/>
      <c r="H228" s="60"/>
      <c r="I228" s="60"/>
      <c r="J228" s="60"/>
      <c r="K228" s="60"/>
      <c r="L228" s="60"/>
      <c r="M228" s="60"/>
      <c r="N228" s="60"/>
      <c r="O228" s="60"/>
    </row>
    <row r="229" spans="1:15" x14ac:dyDescent="0.2">
      <c r="A229" s="60"/>
      <c r="B229" s="60"/>
      <c r="C229" s="75"/>
      <c r="D229" s="60"/>
      <c r="E229" s="60"/>
      <c r="F229" s="60"/>
      <c r="G229" s="60"/>
      <c r="H229" s="60"/>
      <c r="I229" s="60"/>
      <c r="J229" s="60"/>
      <c r="K229" s="60"/>
      <c r="L229" s="60"/>
      <c r="M229" s="60"/>
      <c r="N229" s="60"/>
      <c r="O229" s="60"/>
    </row>
    <row r="230" spans="1:15" x14ac:dyDescent="0.2">
      <c r="A230" s="60"/>
      <c r="B230" s="60"/>
      <c r="C230" s="75"/>
      <c r="D230" s="60"/>
      <c r="E230" s="60"/>
      <c r="F230" s="60"/>
      <c r="G230" s="60"/>
      <c r="H230" s="60"/>
      <c r="I230" s="60"/>
      <c r="J230" s="60"/>
      <c r="K230" s="60"/>
      <c r="L230" s="60"/>
      <c r="M230" s="60"/>
      <c r="N230" s="60"/>
      <c r="O230" s="60"/>
    </row>
    <row r="231" spans="1:15" x14ac:dyDescent="0.2">
      <c r="A231" s="60"/>
      <c r="B231" s="60"/>
      <c r="C231" s="75"/>
      <c r="D231" s="60"/>
      <c r="E231" s="60"/>
      <c r="F231" s="60"/>
      <c r="G231" s="60"/>
      <c r="H231" s="60"/>
      <c r="I231" s="60"/>
      <c r="J231" s="60"/>
      <c r="K231" s="60"/>
      <c r="L231" s="60"/>
      <c r="M231" s="60"/>
      <c r="N231" s="60"/>
      <c r="O231" s="60"/>
    </row>
    <row r="232" spans="1:15" x14ac:dyDescent="0.2">
      <c r="A232" s="60"/>
      <c r="B232" s="60"/>
      <c r="C232" s="75"/>
      <c r="D232" s="60"/>
      <c r="E232" s="60"/>
      <c r="F232" s="60"/>
      <c r="G232" s="60"/>
      <c r="H232" s="60"/>
      <c r="I232" s="60"/>
      <c r="J232" s="60"/>
      <c r="K232" s="60"/>
      <c r="L232" s="60"/>
      <c r="M232" s="60"/>
      <c r="N232" s="60"/>
      <c r="O232" s="60"/>
    </row>
    <row r="233" spans="1:15" x14ac:dyDescent="0.2">
      <c r="A233" s="60"/>
      <c r="B233" s="60"/>
      <c r="C233" s="75"/>
      <c r="D233" s="60"/>
      <c r="E233" s="60"/>
      <c r="F233" s="60"/>
      <c r="G233" s="60"/>
      <c r="H233" s="60"/>
      <c r="I233" s="60"/>
      <c r="J233" s="60"/>
      <c r="K233" s="60"/>
      <c r="L233" s="60"/>
      <c r="M233" s="60"/>
      <c r="N233" s="60"/>
      <c r="O233" s="60"/>
    </row>
    <row r="234" spans="1:15" x14ac:dyDescent="0.2">
      <c r="A234" s="60"/>
      <c r="B234" s="60"/>
      <c r="C234" s="75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</row>
    <row r="235" spans="1:15" x14ac:dyDescent="0.2">
      <c r="A235" s="60"/>
      <c r="B235" s="60"/>
      <c r="C235" s="75"/>
      <c r="D235" s="60"/>
      <c r="E235" s="60"/>
      <c r="F235" s="60"/>
      <c r="G235" s="60"/>
      <c r="H235" s="60"/>
      <c r="I235" s="60"/>
      <c r="J235" s="60"/>
      <c r="K235" s="60"/>
      <c r="L235" s="60"/>
      <c r="M235" s="60"/>
      <c r="N235" s="60"/>
      <c r="O235" s="60"/>
    </row>
    <row r="236" spans="1:15" x14ac:dyDescent="0.2">
      <c r="A236" s="60"/>
      <c r="B236" s="60"/>
      <c r="C236" s="75"/>
      <c r="D236" s="60"/>
      <c r="E236" s="60"/>
      <c r="F236" s="60"/>
      <c r="G236" s="60"/>
      <c r="H236" s="60"/>
      <c r="I236" s="60"/>
      <c r="J236" s="60"/>
      <c r="K236" s="60"/>
      <c r="L236" s="60"/>
      <c r="M236" s="60"/>
      <c r="N236" s="60"/>
      <c r="O236" s="60"/>
    </row>
    <row r="237" spans="1:15" x14ac:dyDescent="0.2">
      <c r="A237" s="60"/>
      <c r="B237" s="60"/>
      <c r="C237" s="75"/>
      <c r="D237" s="60"/>
      <c r="E237" s="60"/>
      <c r="F237" s="60"/>
      <c r="G237" s="60"/>
      <c r="H237" s="60"/>
      <c r="I237" s="60"/>
      <c r="J237" s="60"/>
      <c r="K237" s="60"/>
      <c r="L237" s="60"/>
      <c r="M237" s="60"/>
      <c r="N237" s="60"/>
      <c r="O237" s="60"/>
    </row>
    <row r="238" spans="1:15" x14ac:dyDescent="0.2">
      <c r="A238" s="60"/>
      <c r="B238" s="60"/>
      <c r="C238" s="75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0"/>
      <c r="O238" s="60"/>
    </row>
    <row r="239" spans="1:15" x14ac:dyDescent="0.2">
      <c r="A239" s="60"/>
      <c r="B239" s="60"/>
      <c r="C239" s="75"/>
      <c r="D239" s="60"/>
      <c r="E239" s="60"/>
      <c r="F239" s="60"/>
      <c r="G239" s="60"/>
      <c r="H239" s="60"/>
      <c r="I239" s="60"/>
      <c r="J239" s="60"/>
      <c r="K239" s="60"/>
      <c r="L239" s="60"/>
      <c r="M239" s="60"/>
      <c r="N239" s="60"/>
      <c r="O239" s="60"/>
    </row>
    <row r="240" spans="1:15" x14ac:dyDescent="0.2">
      <c r="A240" s="60"/>
      <c r="B240" s="60"/>
      <c r="C240" s="75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</row>
    <row r="241" spans="1:15" x14ac:dyDescent="0.2">
      <c r="A241" s="60"/>
      <c r="B241" s="60"/>
      <c r="C241" s="75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</row>
    <row r="242" spans="1:15" x14ac:dyDescent="0.2">
      <c r="A242" s="60"/>
      <c r="B242" s="60"/>
      <c r="C242" s="75"/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</row>
    <row r="243" spans="1:15" x14ac:dyDescent="0.2">
      <c r="A243" s="60"/>
      <c r="B243" s="60"/>
      <c r="C243" s="75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</row>
    <row r="244" spans="1:15" x14ac:dyDescent="0.2">
      <c r="A244" s="60"/>
      <c r="B244" s="60"/>
      <c r="C244" s="75"/>
      <c r="D244" s="60"/>
      <c r="E244" s="60"/>
      <c r="F244" s="60"/>
      <c r="G244" s="60"/>
      <c r="H244" s="60"/>
      <c r="I244" s="60"/>
      <c r="J244" s="60"/>
      <c r="K244" s="60"/>
      <c r="L244" s="60"/>
      <c r="M244" s="60"/>
      <c r="N244" s="60"/>
      <c r="O244" s="60"/>
    </row>
    <row r="245" spans="1:15" x14ac:dyDescent="0.2">
      <c r="A245" s="60"/>
      <c r="B245" s="60"/>
      <c r="C245" s="75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</row>
    <row r="246" spans="1:15" x14ac:dyDescent="0.2">
      <c r="A246" s="60"/>
      <c r="B246" s="60"/>
      <c r="C246" s="75"/>
      <c r="D246" s="60"/>
      <c r="E246" s="60"/>
      <c r="F246" s="60"/>
      <c r="G246" s="60"/>
      <c r="H246" s="60"/>
      <c r="I246" s="60"/>
      <c r="J246" s="60"/>
      <c r="K246" s="60"/>
      <c r="L246" s="60"/>
      <c r="M246" s="60"/>
      <c r="N246" s="60"/>
      <c r="O246" s="60"/>
    </row>
    <row r="247" spans="1:15" x14ac:dyDescent="0.2">
      <c r="A247" s="60"/>
      <c r="B247" s="60"/>
      <c r="C247" s="75"/>
      <c r="D247" s="60"/>
      <c r="E247" s="60"/>
      <c r="F247" s="60"/>
      <c r="G247" s="60"/>
      <c r="H247" s="60"/>
      <c r="I247" s="60"/>
      <c r="J247" s="60"/>
      <c r="K247" s="60"/>
      <c r="L247" s="60"/>
      <c r="M247" s="60"/>
      <c r="N247" s="60"/>
      <c r="O247" s="60"/>
    </row>
    <row r="248" spans="1:15" x14ac:dyDescent="0.2">
      <c r="A248" s="60"/>
      <c r="B248" s="60"/>
      <c r="C248" s="75"/>
      <c r="D248" s="60"/>
      <c r="E248" s="60"/>
      <c r="F248" s="60"/>
      <c r="G248" s="60"/>
      <c r="H248" s="60"/>
      <c r="I248" s="60"/>
      <c r="J248" s="60"/>
      <c r="K248" s="60"/>
      <c r="L248" s="60"/>
      <c r="M248" s="60"/>
      <c r="N248" s="60"/>
      <c r="O248" s="60"/>
    </row>
    <row r="249" spans="1:15" x14ac:dyDescent="0.2">
      <c r="A249" s="60"/>
      <c r="B249" s="60"/>
      <c r="C249" s="75"/>
      <c r="D249" s="60"/>
      <c r="E249" s="60"/>
      <c r="F249" s="60"/>
      <c r="G249" s="60"/>
      <c r="H249" s="60"/>
      <c r="I249" s="60"/>
      <c r="J249" s="60"/>
      <c r="K249" s="60"/>
      <c r="L249" s="60"/>
      <c r="M249" s="60"/>
      <c r="N249" s="60"/>
      <c r="O249" s="60"/>
    </row>
    <row r="250" spans="1:15" x14ac:dyDescent="0.2">
      <c r="A250" s="60"/>
      <c r="B250" s="60"/>
      <c r="C250" s="75"/>
      <c r="D250" s="60"/>
      <c r="E250" s="60"/>
      <c r="F250" s="60"/>
      <c r="G250" s="60"/>
      <c r="H250" s="60"/>
      <c r="I250" s="60"/>
      <c r="J250" s="60"/>
      <c r="K250" s="60"/>
      <c r="L250" s="60"/>
      <c r="M250" s="60"/>
      <c r="N250" s="60"/>
      <c r="O250" s="60"/>
    </row>
    <row r="251" spans="1:15" x14ac:dyDescent="0.2">
      <c r="A251" s="60"/>
      <c r="B251" s="60"/>
      <c r="C251" s="75"/>
      <c r="D251" s="60"/>
      <c r="E251" s="60"/>
      <c r="F251" s="60"/>
      <c r="G251" s="60"/>
      <c r="H251" s="60"/>
      <c r="I251" s="60"/>
      <c r="J251" s="60"/>
      <c r="K251" s="60"/>
      <c r="L251" s="60"/>
      <c r="M251" s="60"/>
      <c r="N251" s="60"/>
      <c r="O251" s="60"/>
    </row>
    <row r="252" spans="1:15" x14ac:dyDescent="0.2">
      <c r="A252" s="60"/>
      <c r="B252" s="60"/>
      <c r="C252" s="75"/>
      <c r="D252" s="60"/>
      <c r="E252" s="60"/>
      <c r="F252" s="60"/>
      <c r="G252" s="60"/>
      <c r="H252" s="60"/>
      <c r="I252" s="60"/>
      <c r="J252" s="60"/>
      <c r="K252" s="60"/>
      <c r="L252" s="60"/>
      <c r="M252" s="60"/>
      <c r="N252" s="60"/>
      <c r="O252" s="60"/>
    </row>
  </sheetData>
  <sheetProtection formatCells="0"/>
  <mergeCells count="32">
    <mergeCell ref="C33:D33"/>
    <mergeCell ref="E2:G2"/>
    <mergeCell ref="I2:K2"/>
    <mergeCell ref="L2:M2"/>
    <mergeCell ref="E4:G4"/>
    <mergeCell ref="A6:E6"/>
    <mergeCell ref="A28:E28"/>
    <mergeCell ref="A29:N29"/>
    <mergeCell ref="A30:C30"/>
    <mergeCell ref="D30:E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6:D46"/>
    <mergeCell ref="A47:E47"/>
    <mergeCell ref="A50:B50"/>
    <mergeCell ref="C50:N50"/>
    <mergeCell ref="B53:C53"/>
    <mergeCell ref="D53:E53"/>
    <mergeCell ref="G53:I53"/>
    <mergeCell ref="J53:M53"/>
  </mergeCells>
  <conditionalFormatting sqref="E8:E27">
    <cfRule type="expression" priority="2" stopIfTrue="1">
      <formula>$E8&lt;&gt;""</formula>
    </cfRule>
    <cfRule type="expression" dxfId="4" priority="5">
      <formula>LEFT($C8, 1) = "S"</formula>
    </cfRule>
  </conditionalFormatting>
  <conditionalFormatting sqref="B8:B27">
    <cfRule type="expression" priority="1" stopIfTrue="1">
      <formula>$B8&lt;&gt;""</formula>
    </cfRule>
    <cfRule type="expression" dxfId="3" priority="4">
      <formula>AND(LEFT($C8, 1) &lt;&gt; "S", LEFT($C8, 1) &lt;&gt; "D",NOT(ISBLANK($C8)))</formula>
    </cfRule>
  </conditionalFormatting>
  <conditionalFormatting sqref="D8:D27">
    <cfRule type="expression" dxfId="2" priority="3">
      <formula>AND($C8&lt;&gt;"",$D8="")</formula>
    </cfRule>
  </conditionalFormatting>
  <pageMargins left="0.40064102564102599" right="0.23958333333333301" top="0.47916666666666702" bottom="0.17628205128205099" header="0.24" footer="0.26"/>
  <pageSetup orientation="portrait" r:id="rId1"/>
  <headerFooter alignWithMargins="0">
    <oddHeader xml:space="preserve">&amp;C&amp;"Arial,Bold"&amp;14     Weekly  Labor  Distribution  Report - Customer Service Department &amp;R
</oddHeader>
    <oddFooter xml:space="preserve">&amp;L&amp;"Arial,Italic"&amp;8Printed &amp;D - &amp;T&amp;R
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Sheet2</vt:lpstr>
      <vt:lpstr>07 04 2026</vt:lpstr>
      <vt:lpstr>Lookup01</vt:lpstr>
      <vt:lpstr>'07 04 2026'!Print_Area</vt:lpstr>
      <vt:lpstr>ProjectNumbers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Time_Sheet_Eldho_Hobby</dc:title>
  <dc:subject/>
  <dc:creator>Eldho Hobby</dc:creator>
  <cp:keywords/>
  <dc:description/>
  <cp:lastModifiedBy>Eldho Hobby</cp:lastModifiedBy>
  <cp:revision/>
  <dcterms:created xsi:type="dcterms:W3CDTF">1998-07-13T13:25:30Z</dcterms:created>
  <dcterms:modified xsi:type="dcterms:W3CDTF">2026-07-02T03:01:52Z</dcterms:modified>
  <cp:category/>
  <cp:contentStatus/>
</cp:coreProperties>
</file>